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Sources" sheetId="3" state="visible" r:id="rId3"/>
    <sheet name="State_Production" sheetId="4" state="visible" r:id="rId4"/>
    <sheet name="Stage_Loss_Benchmarks" sheetId="5" state="visible" r:id="rId5"/>
    <sheet name="State_Prices" sheetId="6" state="visible" r:id="rId6"/>
    <sheet name="Model_Output" sheetId="7" state="visible" r:id="rId7"/>
  </sheets>
  <definedNames/>
  <calcPr calcId="124519" fullCalcOnLoad="1"/>
</workbook>
</file>

<file path=xl/styles.xml><?xml version="1.0" encoding="utf-8"?>
<styleSheet xmlns="http://schemas.openxmlformats.org/spreadsheetml/2006/main">
  <numFmts count="3">
    <numFmt numFmtId="164" formatCode="0.0&quot;%&quot;"/>
    <numFmt numFmtId="165" formatCode="#,##0.0"/>
    <numFmt numFmtId="166" formatCode="0.0%"/>
  </numFmts>
  <fonts count="4">
    <font>
      <name val="Calibri"/>
      <family val="2"/>
      <color theme="1"/>
      <sz val="11"/>
      <scheme val="minor"/>
    </font>
    <font>
      <name val="Arial"/>
      <b val="1"/>
      <sz val="14"/>
    </font>
    <font>
      <name val="Arial"/>
      <sz val="10"/>
    </font>
    <font>
      <name val="Arial"/>
      <b val="1"/>
      <color rgb="00FFFFFF"/>
    </font>
  </fonts>
  <fills count="3">
    <fill>
      <patternFill/>
    </fill>
    <fill>
      <patternFill patternType="gray125"/>
    </fill>
    <fill>
      <patternFill patternType="solid">
        <fgColor rgb="001F4E3D"/>
        <bgColor rgb="001F4E3D"/>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6" fontId="2" fillId="0" borderId="0" pivotButton="0" quotePrefix="0" xfId="0"/>
    <xf numFmtId="3" fontId="2" fillId="0" borderId="0" pivotButton="0" quotePrefix="0" xfId="0"/>
    <xf numFmtId="3" fontId="0" fillId="0" borderId="0" pivotButton="0" quotePrefix="0" xfId="0"/>
    <xf numFmtId="0" fontId="3" fillId="2" borderId="0" applyAlignment="1" pivotButton="0" quotePrefix="0" xfId="0">
      <alignment vertical="center" wrapText="1"/>
    </xf>
    <xf numFmtId="164" fontId="2"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Olumide</author>
  </authors>
  <commentList>
    <comment ref="A1" authorId="0" shapeId="0">
      <text>
        <t>Every published figure used in this model, with a citation and a URL</t>
      </text>
    </comment>
  </commentList>
</comments>
</file>

<file path=xl/comments/comment2.xml><?xml version="1.0" encoding="utf-8"?>
<comments xmlns="http://schemas.openxmlformats.org/spreadsheetml/2006/main">
  <authors>
    <author>Olumide</author>
  </authors>
  <commentList>
    <comment ref="A1" authorId="0" shapeId="0">
      <text>
        <t>How national production splits across states. See the estimate_basis column for how each figure was worked out</t>
      </text>
    </comment>
  </commentList>
</comments>
</file>

<file path=xl/comments/comment3.xml><?xml version="1.0" encoding="utf-8"?>
<comments xmlns="http://schemas.openxmlformats.org/spreadsheetml/2006/main">
  <authors>
    <author>Olumide</author>
  </authors>
  <commentList>
    <comment ref="A1" authorId="0" shapeId="0">
      <text>
        <t>Loss share by supply-chain stage, based on a 2025 Nigerian postharvest study</t>
      </text>
    </comment>
  </commentList>
</comments>
</file>

<file path=xl/comments/comment4.xml><?xml version="1.0" encoding="utf-8"?>
<comments xmlns="http://schemas.openxmlformats.org/spreadsheetml/2006/main">
  <authors>
    <author>Olumide</author>
  </authors>
  <commentList>
    <comment ref="A1" authorId="0" shapeId="0">
      <text>
        <t>State tomato prices in naira per kg, anchored to NBS data for June 2024</t>
      </text>
    </comment>
  </commentList>
</comments>
</file>

<file path=xl/comments/comment5.xml><?xml version="1.0" encoding="utf-8"?>
<comments xmlns="http://schemas.openxmlformats.org/spreadsheetml/2006/main">
  <authors>
    <author>Olumide</author>
  </authors>
  <commentList>
    <comment ref="A1" authorId="0" shapeId="0">
      <text>
        <t>The full calculation: tonnes and naira lost by state and stage, baseline versus the cold-chain scenario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00" customWidth="1" min="1" max="1"/>
  </cols>
  <sheetData>
    <row r="1">
      <c r="A1" s="1" t="inlineStr">
        <is>
          <t>Nigeria Tomato Post-Harvest Loss Model</t>
        </is>
      </c>
    </row>
    <row r="2">
      <c r="A2" s="2" t="inlineStr">
        <is>
          <t>Kano to Lagos corridor case study, compiled by Joseph Olumide</t>
        </is>
      </c>
    </row>
    <row r="3">
      <c r="A3" s="2" t="inlineStr"/>
    </row>
    <row r="4">
      <c r="A4" s="3" t="inlineStr">
        <is>
          <t>How this workbook is put together</t>
        </is>
      </c>
    </row>
    <row r="5">
      <c r="A5" s="2" t="inlineStr">
        <is>
          <t>Sources has every published figure I used, with a citation and a URL, so you can check any number</t>
        </is>
      </c>
    </row>
    <row r="6">
      <c r="A6" s="2" t="inlineStr">
        <is>
          <t>against where it actually came from.</t>
        </is>
      </c>
    </row>
    <row r="7">
      <c r="A7" s="2" t="inlineStr">
        <is>
          <t>State_Production, Stage_Loss_Benchmarks, and State_Prices are the raw tables everything else is built on.</t>
        </is>
      </c>
    </row>
    <row r="8">
      <c r="A8" s="2" t="inlineStr">
        <is>
          <t>Where a value is a genuine analyst estimate rather than an official figure, the notes column says so plainly.</t>
        </is>
      </c>
    </row>
    <row r="9">
      <c r="A9" s="2" t="inlineStr">
        <is>
          <t>Model_Output is the full calculation, tonnes and naira lost by state and stage, baseline versus the</t>
        </is>
      </c>
    </row>
    <row r="10">
      <c r="A10" s="2" t="inlineStr">
        <is>
          <t>cold-chain scenario.</t>
        </is>
      </c>
    </row>
    <row r="11">
      <c r="A11" s="2" t="inlineStr">
        <is>
          <t>Summary pulls the headline numbers together using live formulas, not typed-in totals, so if you change an</t>
        </is>
      </c>
    </row>
    <row r="12">
      <c r="A12" s="2" t="inlineStr">
        <is>
          <t>assumption upstream and rerun the Python model (scripts/model_losses.py), everything here updates itself.</t>
        </is>
      </c>
    </row>
    <row r="13">
      <c r="A13" s="2" t="inlineStr"/>
    </row>
    <row r="14">
      <c r="A14" s="3" t="inlineStr">
        <is>
          <t>The short version of the methodology</t>
        </is>
      </c>
    </row>
    <row r="15">
      <c r="A15" s="2" t="inlineStr">
        <is>
          <t>There's no single official Nigerian dataset that breaks tomato loss down by state and by supply-chain stage</t>
        </is>
      </c>
    </row>
    <row r="16">
      <c r="A16" s="2" t="inlineStr">
        <is>
          <t>in naira terms, so this workbook builds one. It combines a published national loss rate (45%), a published</t>
        </is>
      </c>
    </row>
    <row r="17">
      <c r="A17" s="2" t="inlineStr">
        <is>
          <t>stage-share breakdown of that loss (38/34/28%), NBS state-level prices, and an estimated state production</t>
        </is>
      </c>
    </row>
    <row r="18">
      <c r="A18" s="2" t="inlineStr">
        <is>
          <t>split, since no authoritative per-state tonnage series exists publicly. Every number traces back to</t>
        </is>
      </c>
    </row>
    <row r="19">
      <c r="A19" s="2" t="inlineStr">
        <is>
          <t>something, and every estimate is flagged as one. Full detail is in README.md in the project folder.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0" customWidth="1" min="1" max="1"/>
    <col width="22" customWidth="1" min="2" max="2"/>
  </cols>
  <sheetData>
    <row r="1">
      <c r="A1" s="1" t="inlineStr">
        <is>
          <t>Nigeria Tomato PHL - Headline Summary (live formulas)</t>
        </is>
      </c>
    </row>
    <row r="2">
      <c r="A2" s="2" t="inlineStr">
        <is>
          <t>Total annual production (tonnes, corridor states modeled)</t>
        </is>
      </c>
      <c r="B2" s="2">
        <f>SUM(State_Production!E2:E10)</f>
        <v/>
      </c>
    </row>
    <row r="3">
      <c r="A3" s="2" t="inlineStr">
        <is>
          <t>Total tonnes lost (baseline)</t>
        </is>
      </c>
      <c r="B3" s="2">
        <f>SUM(Model_Output!G2:G46)</f>
        <v/>
      </c>
    </row>
    <row r="4">
      <c r="A4" s="2" t="inlineStr">
        <is>
          <t>Overall loss rate (%)</t>
        </is>
      </c>
      <c r="B4" s="4">
        <f>B3/B2</f>
        <v/>
      </c>
    </row>
    <row r="5">
      <c r="A5" s="2" t="inlineStr">
        <is>
          <t>Total value lost - baseline (NGN)</t>
        </is>
      </c>
      <c r="B5" s="5">
        <f>SUM(Model_Output!H2:H46)</f>
        <v/>
      </c>
    </row>
    <row r="6">
      <c r="A6" s="2" t="inlineStr">
        <is>
          <t>Total value lost - with cold-chain fix (NGN)</t>
        </is>
      </c>
      <c r="B6" s="5">
        <f>SUM(Model_Output!K2:K46)</f>
        <v/>
      </c>
    </row>
    <row r="7">
      <c r="A7" s="2" t="inlineStr">
        <is>
          <t>Total NGN saved per year with cold-chain fix</t>
        </is>
      </c>
      <c r="B7" s="5">
        <f>SUM(Model_Output!M2:M46)</f>
        <v/>
      </c>
    </row>
    <row r="8">
      <c r="A8" s="2" t="inlineStr">
        <is>
          <t>Cold-chain intervention effect size used</t>
        </is>
      </c>
      <c r="B8" s="2" t="inlineStr">
        <is>
          <t>30% loss reduction (Source S8: Ohagwu et al. 2021)</t>
        </is>
      </c>
    </row>
    <row r="10">
      <c r="A10" s="3" t="inlineStr">
        <is>
          <t>Loss by stage (baseline, NGN) - use for stacked bar chart</t>
        </is>
      </c>
    </row>
    <row r="11">
      <c r="A11" s="3" t="inlineStr">
        <is>
          <t>Stage</t>
        </is>
      </c>
      <c r="B11" s="3" t="inlineStr">
        <is>
          <t>Naira Lost</t>
        </is>
      </c>
    </row>
    <row r="12">
      <c r="A12" s="2" t="inlineStr">
        <is>
          <t>Farm / Harvest</t>
        </is>
      </c>
      <c r="B12" s="6">
        <f>SUMIFS(Model_Output!H2:H46,Model_Output!D2:D46,A12)</f>
        <v/>
      </c>
    </row>
    <row r="13">
      <c r="A13" s="2" t="inlineStr">
        <is>
          <t>Postharvest handling (on-farm sorting, packing, initial storage)</t>
        </is>
      </c>
      <c r="B13" s="6">
        <f>SUMIFS(Model_Output!H2:H46,Model_Output!D2:D46,A13)</f>
        <v/>
      </c>
    </row>
    <row r="14">
      <c r="A14" s="2" t="inlineStr">
        <is>
          <t>Transport</t>
        </is>
      </c>
      <c r="B14" s="6">
        <f>SUMIFS(Model_Output!H2:H46,Model_Output!D2:D46,A14)</f>
        <v/>
      </c>
    </row>
    <row r="15">
      <c r="A15" s="2" t="inlineStr">
        <is>
          <t>Wholesale market</t>
        </is>
      </c>
      <c r="B15" s="6">
        <f>SUMIFS(Model_Output!H2:H46,Model_Output!D2:D46,A15)</f>
        <v/>
      </c>
    </row>
    <row r="16">
      <c r="A16" s="2" t="inlineStr">
        <is>
          <t>Retail</t>
        </is>
      </c>
      <c r="B16" s="6">
        <f>SUMIFS(Model_Output!H2:H46,Model_Output!D2:D46,A16)</f>
        <v/>
      </c>
    </row>
    <row r="18">
      <c r="A18" s="3" t="inlineStr">
        <is>
          <t>Loss by state (baseline, NGN) - use for bar/map chart</t>
        </is>
      </c>
    </row>
    <row r="19">
      <c r="A19" s="3" t="inlineStr">
        <is>
          <t>State</t>
        </is>
      </c>
      <c r="B19" s="3" t="inlineStr">
        <is>
          <t>Naira Lost</t>
        </is>
      </c>
    </row>
    <row r="20">
      <c r="A20" s="2" t="inlineStr">
        <is>
          <t>Kano</t>
        </is>
      </c>
      <c r="B20" s="6">
        <f>SUMIFS(Model_Output!H2:H46,Model_Output!A2:A46,A20)</f>
        <v/>
      </c>
    </row>
    <row r="21">
      <c r="A21" s="2" t="inlineStr">
        <is>
          <t>Kaduna</t>
        </is>
      </c>
      <c r="B21" s="6">
        <f>SUMIFS(Model_Output!H2:H46,Model_Output!A2:A46,A21)</f>
        <v/>
      </c>
    </row>
    <row r="22">
      <c r="A22" s="2" t="inlineStr">
        <is>
          <t>Katsina</t>
        </is>
      </c>
      <c r="B22" s="6">
        <f>SUMIFS(Model_Output!H2:H46,Model_Output!A2:A46,A22)</f>
        <v/>
      </c>
    </row>
    <row r="23">
      <c r="A23" s="2" t="inlineStr">
        <is>
          <t>Jigawa</t>
        </is>
      </c>
      <c r="B23" s="6">
        <f>SUMIFS(Model_Output!H2:H46,Model_Output!A2:A46,A23)</f>
        <v/>
      </c>
    </row>
    <row r="24">
      <c r="A24" s="2" t="inlineStr">
        <is>
          <t>Plateau</t>
        </is>
      </c>
      <c r="B24" s="6">
        <f>SUMIFS(Model_Output!H2:H46,Model_Output!A2:A46,A24)</f>
        <v/>
      </c>
    </row>
    <row r="25">
      <c r="A25" s="2" t="inlineStr">
        <is>
          <t>Benue</t>
        </is>
      </c>
      <c r="B25" s="6">
        <f>SUMIFS(Model_Output!H2:H46,Model_Output!A2:A46,A25)</f>
        <v/>
      </c>
    </row>
    <row r="26">
      <c r="A26" s="2" t="inlineStr">
        <is>
          <t>Gombe</t>
        </is>
      </c>
      <c r="B26" s="6">
        <f>SUMIFS(Model_Output!H2:H46,Model_Output!A2:A46,A26)</f>
        <v/>
      </c>
    </row>
    <row r="27">
      <c r="A27" s="2" t="inlineStr">
        <is>
          <t>Bauchi</t>
        </is>
      </c>
      <c r="B27" s="6">
        <f>SUMIFS(Model_Output!H2:H46,Model_Output!A2:A46,A27)</f>
        <v/>
      </c>
    </row>
    <row r="28">
      <c r="A28" s="2" t="inlineStr">
        <is>
          <t>Other_states</t>
        </is>
      </c>
      <c r="B28" s="6">
        <f>SUMIFS(Model_Output!H2:H46,Model_Output!A2:A46,A28)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60" customWidth="1" min="3" max="3"/>
    <col width="60" customWidth="1" min="4" max="4"/>
    <col width="60" customWidth="1" min="5" max="5"/>
    <col width="60" customWidth="1" min="6" max="6"/>
  </cols>
  <sheetData>
    <row r="1">
      <c r="A1" s="7" t="inlineStr">
        <is>
          <t>source_id</t>
        </is>
      </c>
      <c r="B1" s="7" t="inlineStr">
        <is>
          <t>figure_used</t>
        </is>
      </c>
      <c r="C1" s="7" t="inlineStr">
        <is>
          <t>value</t>
        </is>
      </c>
      <c r="D1" s="7" t="inlineStr">
        <is>
          <t>citation</t>
        </is>
      </c>
      <c r="E1" s="7" t="inlineStr">
        <is>
          <t>url</t>
        </is>
      </c>
      <c r="F1" s="7" t="inlineStr">
        <is>
          <t>notes</t>
        </is>
      </c>
    </row>
    <row r="2">
      <c r="A2" s="2" t="inlineStr">
        <is>
          <t>S1</t>
        </is>
      </c>
      <c r="B2" s="2" t="inlineStr">
        <is>
          <t>National tomato PHL rate</t>
        </is>
      </c>
      <c r="C2" s="2" t="inlineStr">
        <is>
          <t>45%</t>
        </is>
      </c>
      <c r="D2" s="2" t="inlineStr">
        <is>
          <t>Babadara/Cornell CALS (2023), citing Nigerian tomato value chain data</t>
        </is>
      </c>
      <c r="E2" s="2" t="inlineStr">
        <is>
          <t>https://cals.cornell.edu/news/2023/06/bending-curve-of-tomato-loss-can-help-nigerian-farmers-reduce-poverty</t>
        </is>
      </c>
      <c r="F2" s="2" t="inlineStr">
        <is>
          <t>This is the headline figure the whole model is built around: Nigerian farmers lose over 45% of what they harvest, against a national supply deficit of around 500,000 tonnes a year on 2.3 million tonnes of demand.</t>
        </is>
      </c>
    </row>
    <row r="3">
      <c r="A3" s="2" t="inlineStr">
        <is>
          <t>S2</t>
        </is>
      </c>
      <c r="B3" s="2" t="inlineStr">
        <is>
          <t>Corroborating PHL range</t>
        </is>
      </c>
      <c r="C3" s="2" t="inlineStr">
        <is>
          <t>30-50%</t>
        </is>
      </c>
      <c r="D3" s="2" t="inlineStr">
        <is>
          <t>Affognon et al. via SSA packaging review, PMC8997940</t>
        </is>
      </c>
      <c r="E3" s="2" t="inlineStr">
        <is>
          <t>https://pmc.ncbi.nlm.nih.gov/articles/PMC8997940/</t>
        </is>
      </c>
      <c r="F3" s="2" t="inlineStr">
        <is>
          <t>A broader Sub-Saharan Africa study on fruit and vegetable packaging. I used its 30 to 50% range for tomatoes as a sanity check against S1, rather than as a separate input.</t>
        </is>
      </c>
    </row>
    <row r="4">
      <c r="A4" s="2" t="inlineStr">
        <is>
          <t>S3</t>
        </is>
      </c>
      <c r="B4" s="2" t="inlineStr">
        <is>
          <t>Stage share of total loss</t>
        </is>
      </c>
      <c r="C4" s="2" t="inlineStr">
        <is>
          <t>Production 38% / Postharvest handling 34% / Remainder (transport+market+retail) 28%</t>
        </is>
      </c>
      <c r="D4" s="2" t="inlineStr">
        <is>
          <t>Scientific Reports / Nature (2025), Adoption of postharvest innovations to minimize tomato losses in Nigeria</t>
        </is>
      </c>
      <c r="E4" s="2" t="inlineStr">
        <is>
          <t>https://www.nature.com/articles/s41598-025-15618-0</t>
        </is>
      </c>
      <c r="F4" s="2" t="inlineStr">
        <is>
          <t>This is the study that lets me split the S1 total loss rate across supply-chain stages, which is the backbone of the whole stage-by-stage breakdown.</t>
        </is>
      </c>
    </row>
    <row r="5">
      <c r="A5" s="2" t="inlineStr">
        <is>
          <t>S4</t>
        </is>
      </c>
      <c r="B5" s="2" t="inlineStr">
        <is>
          <t>Wholesale-stage loss rate</t>
        </is>
      </c>
      <c r="C5" s="2" t="inlineStr">
        <is>
          <t>23.3%</t>
        </is>
      </c>
      <c r="D5" s="2" t="inlineStr">
        <is>
          <t>On the Potential of Packaging for Reducing F&amp;V Losses in SSA, PMC8997940 (citing study 19)</t>
        </is>
      </c>
      <c r="E5" s="2" t="inlineStr">
        <is>
          <t>https://pmc.ncbi.nlm.nih.gov/articles/PMC8997940/</t>
        </is>
      </c>
      <c r="F5" s="2" t="inlineStr">
        <is>
          <t>Used to sanity-check the wholesale figure derived from S3. About 23% of this loss is attributed to mechanical damage from poor packaging, which is worth knowing if you're thinking about interventions.</t>
        </is>
      </c>
    </row>
    <row r="6">
      <c r="A6" s="2" t="inlineStr">
        <is>
          <t>S5</t>
        </is>
      </c>
      <c r="B6" s="2" t="inlineStr">
        <is>
          <t>Retail-stage loss rate</t>
        </is>
      </c>
      <c r="C6" s="2" t="inlineStr">
        <is>
          <t>20% (SD 10%)</t>
        </is>
      </c>
      <c r="D6" s="2" t="inlineStr">
        <is>
          <t>Same source as S4</t>
        </is>
      </c>
      <c r="E6" s="2" t="inlineStr">
        <is>
          <t>https://pmc.ncbi.nlm.nih.gov/articles/PMC8997940/</t>
        </is>
      </c>
      <c r="F6" s="2" t="inlineStr">
        <is>
          <t>Used the same way as S4, but to sanity-check the retail figure instead of wholesale.</t>
        </is>
      </c>
    </row>
    <row r="7">
      <c r="A7" s="2" t="inlineStr">
        <is>
          <t>S6</t>
        </is>
      </c>
      <c r="B7" s="2" t="inlineStr">
        <is>
          <t>National annual production &amp; demand</t>
        </is>
      </c>
      <c r="C7" s="2" t="inlineStr">
        <is>
          <t>~2.3M MT produced; ~2.3M MT demand; ~500000 MT deficit</t>
        </is>
      </c>
      <c r="D7" s="2" t="inlineStr">
        <is>
          <t>Cornell CALS (2023) / The Whistler (2026)</t>
        </is>
      </c>
      <c r="E7" s="2" t="inlineStr">
        <is>
          <t>https://cals.cornell.edu/news/2023/06/bending-curve-of-tomato-loss-can-help-nigerian-farmers-reduce-poverty</t>
        </is>
      </c>
      <c r="F7" s="2" t="inlineStr">
        <is>
          <t>Nigeria is Africa's second-largest tomato producer and supplies roughly 65% of West Africa's tomatoes, which is part of why this crop is such a widely used case study for post-harvest loss.</t>
        </is>
      </c>
    </row>
    <row r="8">
      <c r="A8" s="2" t="inlineStr">
        <is>
          <t>S7</t>
        </is>
      </c>
      <c r="B8" s="2" t="inlineStr">
        <is>
          <t>Major producing states</t>
        </is>
      </c>
      <c r="C8" s="2" t="inlineStr">
        <is>
          <t>Kano; Kaduna; Katsina; Jigawa; Plateau; Benue; Gombe; Bauchi</t>
        </is>
      </c>
      <c r="D8" s="2" t="inlineStr">
        <is>
          <t>IntechOpen (2025) Tomato Crop Improvement in Nigeria; The Whistler (2026)</t>
        </is>
      </c>
      <c r="E8" s="2" t="inlineStr">
        <is>
          <t>https://www.intechopen.com/chapters/1214132</t>
        </is>
      </c>
      <c r="F8" s="2" t="inlineStr">
        <is>
          <t>These states make up the northern dry-season irrigation belt that anchors national supply, with Kano, Kaduna, and Katsina doing most of the heavy lifting.</t>
        </is>
      </c>
    </row>
    <row r="9">
      <c r="A9" s="2" t="inlineStr">
        <is>
          <t>S8</t>
        </is>
      </c>
      <c r="B9" s="2" t="inlineStr">
        <is>
          <t>Cold-chain / storage intervention effect</t>
        </is>
      </c>
      <c r="C9" s="2" t="inlineStr">
        <is>
          <t>up to 30% loss reduction</t>
        </is>
      </c>
      <c r="D9" s="2" t="inlineStr">
        <is>
          <t>Ohagwu et al. (2021), charcoal cooler storage bins, cited in Asom Tingir Ijirshar Benue State study</t>
        </is>
      </c>
      <c r="E9" s="2" t="inlineStr">
        <is>
          <t>https://bsum.edu.ng/journals/jesr/ProfOko/files/4.pdf</t>
        </is>
      </c>
      <c r="F9" s="2" t="inlineStr">
        <is>
          <t>This is the number the cold-chain 'what if' scenario in this model is built on. It's a real, already-tested intervention rather than a hypothetical technology.</t>
        </is>
      </c>
    </row>
    <row r="10">
      <c r="A10" s="2" t="inlineStr">
        <is>
          <t>S9</t>
        </is>
      </c>
      <c r="B10" s="2" t="inlineStr">
        <is>
          <t>RPC (reusable plastic crate) adoption rates</t>
        </is>
      </c>
      <c r="C10" s="2" t="inlineStr">
        <is>
          <t>17% at harvest; 12.6% during transport; 4.4% in long-distance trade</t>
        </is>
      </c>
      <c r="D10" s="2" t="inlineStr">
        <is>
          <t>Nature Scientific Reports (2025)</t>
        </is>
      </c>
      <c r="E10" s="2" t="inlineStr">
        <is>
          <t>https://www.nature.com/articles/s41598-025-15618-0</t>
        </is>
      </c>
      <c r="F10" s="2" t="inlineStr">
        <is>
          <t>Adoption of basic protective packaging like reusable plastic crates is still low, which helps explain why mechanical-damage losses persist through the chain.</t>
        </is>
      </c>
    </row>
    <row r="11">
      <c r="A11" s="2" t="inlineStr">
        <is>
          <t>S10</t>
        </is>
      </c>
      <c r="B11" s="2" t="inlineStr">
        <is>
          <t>State-level tomato prices (reference anchors)</t>
        </is>
      </c>
      <c r="C11" s="2" t="inlineStr">
        <is>
          <t>Kano ~N422.7/kg (Jan 2024); Delta ~N1474.79/kg (Jan 2024); Abuja ~N3992.61/kg (Jun 2024); Kebbi ~N1200/kg (Jun 2024); National avg ~N2302.26/kg (Jun 2024)</t>
        </is>
      </c>
      <c r="D11" s="2" t="inlineStr">
        <is>
          <t>NBS Selected Food Price Watch, Jan 2024 &amp; Jun 2024</t>
        </is>
      </c>
      <c r="E11" s="2" t="inlineStr">
        <is>
          <t>https://www.nigerianstat.gov.ng/pdfuploads/Selected_Food_Report_June_2024.pdf</t>
        </is>
      </c>
      <c r="F11" s="2" t="inlineStr">
        <is>
          <t>Tomato prices in Nigeria moved by more than 300% year on year through 2024 because of naira inflation and seasonality, so treat these as a single point-in-time reference rather than a stable baseline.</t>
        </is>
      </c>
    </row>
    <row r="12">
      <c r="A12" s="2" t="inlineStr">
        <is>
          <t>S11</t>
        </is>
      </c>
      <c r="B12" s="2" t="inlineStr">
        <is>
          <t>Regional loss/spoilage benchmark</t>
        </is>
      </c>
      <c r="C12" s="2" t="inlineStr">
        <is>
          <t>Tomato highest spoilage among surveyed crops at 48.33%</t>
        </is>
      </c>
      <c r="D12" s="2" t="inlineStr">
        <is>
          <t>Wemembu, Exploring Nigerian Post-Harvest Losses (Medium, 2025), citing NAERLS/FMARD-style survey</t>
        </is>
      </c>
      <c r="E12" s="2" t="inlineStr">
        <is>
          <t>https://medium.com/@graceogo/exploring-nigerian-post-harvest-losses-a1eef8c4307f</t>
        </is>
      </c>
      <c r="F12" s="2" t="inlineStr">
        <is>
          <t>A secondary, non-peer-reviewed source, so I didn't use it directly in any calculation. It's here as extra context in the README: tomato had the worst spoilage rate of any crop surveyed.</t>
        </is>
      </c>
    </row>
    <row r="13">
      <c r="A13" s="2" t="inlineStr">
        <is>
          <t>S12</t>
        </is>
      </c>
      <c r="B13" s="2" t="inlineStr">
        <is>
          <t>2025 national average tomato price (used to update the whole price table)</t>
        </is>
      </c>
      <c r="C13" s="2" t="inlineStr">
        <is>
          <t>April N1283.57/kg; September N1279.84/kg; October N1269.17/kg; November N1243.02/kg; average across these four N1268.90/kg</t>
        </is>
      </c>
      <c r="D13" s="2" t="inlineStr">
        <is>
          <t>NBS Selected Food Price Watch, various 2025 reports as covered by Nairametrics, Naija247news, Daily Nigerian, and TV360 Nigeria</t>
        </is>
      </c>
      <c r="E13" s="2" t="inlineStr">
        <is>
          <t>https://nairametrics.com/2025/12/12/nbs-rice-beans-garri-and-tomato-prices-fall-nationwide-in-october-2025/</t>
        </is>
      </c>
      <c r="F13" s="2" t="inlineStr">
        <is>
          <t>I only found four months of 2025 data rather than a full twelve, so this average is built from what's actually available, not a complete year. It's still a much better reference than the single June 2024 figure the model used before, since 2025 prices were both lower and far more stable month to month.</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7" customWidth="1" min="3" max="3"/>
    <col width="18" customWidth="1" min="4" max="4"/>
    <col width="18" customWidth="1" min="5" max="5"/>
    <col width="60" customWidth="1" min="6" max="6"/>
  </cols>
  <sheetData>
    <row r="1">
      <c r="A1" s="7" t="inlineStr">
        <is>
          <t>state</t>
        </is>
      </c>
      <c r="B1" s="7" t="inlineStr">
        <is>
          <t>region</t>
        </is>
      </c>
      <c r="C1" s="7" t="inlineStr">
        <is>
          <t>role</t>
        </is>
      </c>
      <c r="D1" s="7" t="inlineStr">
        <is>
          <t>est_share_of_national_production_pct</t>
        </is>
      </c>
      <c r="E1" s="7" t="inlineStr">
        <is>
          <t>est_annual_production_tonnes</t>
        </is>
      </c>
      <c r="F1" s="7" t="inlineStr">
        <is>
          <t>estimate_basis</t>
        </is>
      </c>
    </row>
    <row r="2">
      <c r="A2" s="2" t="inlineStr">
        <is>
          <t>Kano</t>
        </is>
      </c>
      <c r="B2" s="2" t="inlineStr">
        <is>
          <t>North-West</t>
        </is>
      </c>
      <c r="C2" s="2" t="inlineStr">
        <is>
          <t>origin_producer</t>
        </is>
      </c>
      <c r="D2" s="8" t="n">
        <v>22</v>
      </c>
      <c r="E2" s="9" t="n">
        <v>506000</v>
      </c>
      <c r="F2" s="2" t="inlineStr">
        <is>
          <t>Estimated. I couldn't find an official tonnage figure for Kano, but it comes up repeatedly as Nigeria's top tomato producer, and it's where Dangote and Olam chose to site their tomato processing plants, which fits that ranking (S6, S7).</t>
        </is>
      </c>
    </row>
    <row r="3">
      <c r="A3" s="2" t="inlineStr">
        <is>
          <t>Kaduna</t>
        </is>
      </c>
      <c r="B3" s="2" t="inlineStr">
        <is>
          <t>North-West</t>
        </is>
      </c>
      <c r="C3" s="2" t="inlineStr">
        <is>
          <t>origin_producer</t>
        </is>
      </c>
      <c r="D3" s="8" t="n">
        <v>20</v>
      </c>
      <c r="E3" s="9" t="n">
        <v>460000</v>
      </c>
      <c r="F3" s="2" t="inlineStr">
        <is>
          <t>Estimated. Recent (2025-26) reporting names Kaduna as the leading or co-leading producer alongside Kano, so I placed it close behind (S7).</t>
        </is>
      </c>
    </row>
    <row r="4">
      <c r="A4" s="2" t="inlineStr">
        <is>
          <t>Katsina</t>
        </is>
      </c>
      <c r="B4" s="2" t="inlineStr">
        <is>
          <t>North-West</t>
        </is>
      </c>
      <c r="C4" s="2" t="inlineStr">
        <is>
          <t>origin_producer</t>
        </is>
      </c>
      <c r="D4" s="8" t="n">
        <v>15</v>
      </c>
      <c r="E4" s="9" t="n">
        <v>345000</v>
      </c>
      <c r="F4" s="2" t="inlineStr">
        <is>
          <t>Estimated. A major dryland producer that shows up consistently in the top five across the sources I checked (S7).</t>
        </is>
      </c>
    </row>
    <row r="5">
      <c r="A5" s="2" t="inlineStr">
        <is>
          <t>Jigawa</t>
        </is>
      </c>
      <c r="B5" s="2" t="inlineStr">
        <is>
          <t>North-West</t>
        </is>
      </c>
      <c r="C5" s="2" t="inlineStr">
        <is>
          <t>origin_producer</t>
        </is>
      </c>
      <c r="D5" s="8" t="n">
        <v>10</v>
      </c>
      <c r="E5" s="9" t="n">
        <v>230000</v>
      </c>
      <c r="F5" s="2" t="inlineStr">
        <is>
          <t>Estimated. Consistently listed among the top producing states, though never with an exact tonnage attached (S7).</t>
        </is>
      </c>
    </row>
    <row r="6">
      <c r="A6" s="2" t="inlineStr">
        <is>
          <t>Plateau</t>
        </is>
      </c>
      <c r="B6" s="2" t="inlineStr">
        <is>
          <t>North-Central</t>
        </is>
      </c>
      <c r="C6" s="2" t="inlineStr">
        <is>
          <t>origin_producer</t>
        </is>
      </c>
      <c r="D6" s="8" t="n">
        <v>8</v>
      </c>
      <c r="E6" s="9" t="n">
        <v>184000</v>
      </c>
      <c r="F6" s="2" t="inlineStr">
        <is>
          <t>Estimated. An established production zone thanks to its cooler climate, which suits tomatoes better than the hotter lowlands (S7).</t>
        </is>
      </c>
    </row>
    <row r="7">
      <c r="A7" s="2" t="inlineStr">
        <is>
          <t>Benue</t>
        </is>
      </c>
      <c r="B7" s="2" t="inlineStr">
        <is>
          <t>North-Central</t>
        </is>
      </c>
      <c r="C7" s="2" t="inlineStr">
        <is>
          <t>origin_producer</t>
        </is>
      </c>
      <c r="D7" s="8" t="n">
        <v>8</v>
      </c>
      <c r="E7" s="9" t="n">
        <v>184000</v>
      </c>
      <c r="F7" s="2" t="inlineStr">
        <is>
          <t>Estimated. Benue is known as Nigeria's food basket state and has a genuine commercial tomato belt, so I gave it a similar weight to Plateau (S7).</t>
        </is>
      </c>
    </row>
    <row r="8">
      <c r="A8" s="2" t="inlineStr">
        <is>
          <t>Gombe</t>
        </is>
      </c>
      <c r="B8" s="2" t="inlineStr">
        <is>
          <t>North-East</t>
        </is>
      </c>
      <c r="C8" s="2" t="inlineStr">
        <is>
          <t>origin_producer</t>
        </is>
      </c>
      <c r="D8" s="8" t="n">
        <v>6</v>
      </c>
      <c r="E8" s="9" t="n">
        <v>138000</v>
      </c>
      <c r="F8" s="2" t="inlineStr">
        <is>
          <t>Estimated, based on Gombe's listing as a commercial tomato producer (S7).</t>
        </is>
      </c>
    </row>
    <row r="9">
      <c r="A9" s="2" t="inlineStr">
        <is>
          <t>Bauchi</t>
        </is>
      </c>
      <c r="B9" s="2" t="inlineStr">
        <is>
          <t>North-East</t>
        </is>
      </c>
      <c r="C9" s="2" t="inlineStr">
        <is>
          <t>origin_producer</t>
        </is>
      </c>
      <c r="D9" s="8" t="n">
        <v>6</v>
      </c>
      <c r="E9" s="9" t="n">
        <v>138000</v>
      </c>
      <c r="F9" s="2" t="inlineStr">
        <is>
          <t>Estimated, based on Bauchi's listing as a commercial tomato producer (S7).</t>
        </is>
      </c>
    </row>
    <row r="10">
      <c r="A10" s="2" t="inlineStr">
        <is>
          <t>Other_states</t>
        </is>
      </c>
      <c r="B10" s="2" t="inlineStr">
        <is>
          <t>Various</t>
        </is>
      </c>
      <c r="C10" s="2" t="inlineStr">
        <is>
          <t>origin_producer</t>
        </is>
      </c>
      <c r="D10" s="8" t="n">
        <v>5</v>
      </c>
      <c r="E10" s="9" t="n">
        <v>115000</v>
      </c>
      <c r="F10" s="2" t="inlineStr">
        <is>
          <t>A catch-all for everything left over. S7 also names Sokoto, Kebbi, Nasarawa, Zamfara, Kogi, Oyo, Lagos, Ogun, and Osun as minor producers, but none of them have a large enough share on their own to warrant a separate line.</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8" customWidth="1" min="3" max="3"/>
    <col width="18" customWidth="1" min="4" max="4"/>
    <col width="60" customWidth="1" min="5" max="5"/>
    <col width="12" customWidth="1" min="6" max="6"/>
  </cols>
  <sheetData>
    <row r="1">
      <c r="A1" s="7" t="inlineStr">
        <is>
          <t>stage</t>
        </is>
      </c>
      <c r="B1" s="7" t="inlineStr">
        <is>
          <t>stage_order</t>
        </is>
      </c>
      <c r="C1" s="7" t="inlineStr">
        <is>
          <t>share_of_total_loss_pct</t>
        </is>
      </c>
      <c r="D1" s="7" t="inlineStr">
        <is>
          <t>derived_loss_pct_of_volume_entering_chain</t>
        </is>
      </c>
      <c r="E1" s="7" t="inlineStr">
        <is>
          <t>validation_check</t>
        </is>
      </c>
      <c r="F1" s="7" t="inlineStr">
        <is>
          <t>source_ids</t>
        </is>
      </c>
    </row>
    <row r="2">
      <c r="A2" s="2" t="inlineStr">
        <is>
          <t>Farm / Harvest</t>
        </is>
      </c>
      <c r="B2" s="2" t="n">
        <v>1</v>
      </c>
      <c r="C2" s="8" t="n">
        <v>38</v>
      </c>
      <c r="D2" s="8" t="n">
        <v>17.1</v>
      </c>
      <c r="E2" s="2" t="inlineStr">
        <is>
          <t>I couldn't find an independent figure specific to this exact stage, so treat this as directional rather than precise.</t>
        </is>
      </c>
      <c r="F2" s="2" t="inlineStr">
        <is>
          <t>S1;S3</t>
        </is>
      </c>
    </row>
    <row r="3">
      <c r="A3" s="2" t="inlineStr">
        <is>
          <t>Postharvest handling (on-farm sorting, packing, initial storage)</t>
        </is>
      </c>
      <c r="B3" s="2" t="n">
        <v>2</v>
      </c>
      <c r="C3" s="8" t="n">
        <v>34</v>
      </c>
      <c r="D3" s="8" t="n">
        <v>15.3</v>
      </c>
      <c r="E3" s="2" t="inlineStr">
        <is>
          <t>Same as above: no independent figure specific to this exact stage, so directional rather than precise.</t>
        </is>
      </c>
      <c r="F3" s="2" t="inlineStr">
        <is>
          <t>S1;S3</t>
        </is>
      </c>
    </row>
    <row r="4">
      <c r="A4" s="2" t="inlineStr">
        <is>
          <t>Transport</t>
        </is>
      </c>
      <c r="B4" s="2" t="n">
        <v>3</v>
      </c>
      <c r="C4" s="8" t="n">
        <v>14</v>
      </c>
      <c r="D4" s="8" t="n">
        <v>6.3</v>
      </c>
      <c r="E4" s="2" t="inlineStr">
        <is>
          <t>This is my split of the remaining 28% share. Other Nigerian tomato studies generally suggest transport loses more than wholesale or retail, which is what this split reflects.</t>
        </is>
      </c>
      <c r="F4" s="2" t="inlineStr">
        <is>
          <t>S1;S3</t>
        </is>
      </c>
    </row>
    <row r="5">
      <c r="A5" s="2" t="inlineStr">
        <is>
          <t>Wholesale market</t>
        </is>
      </c>
      <c r="B5" s="2" t="n">
        <v>4</v>
      </c>
      <c r="C5" s="8" t="n">
        <v>8</v>
      </c>
      <c r="D5" s="8" t="n">
        <v>3.6</v>
      </c>
      <c r="E5" s="2" t="inlineStr">
        <is>
          <t>Cross-checked against a separate figure of 23.3% loss at the wholesale stage (S4). That's a different measurement, the share of volume that arrives at wholesale and spoils there, not the share of the original harvest that this column tracks, but both point the same direction.</t>
        </is>
      </c>
      <c r="F5" s="2" t="inlineStr">
        <is>
          <t>S1;S3;S4</t>
        </is>
      </c>
    </row>
    <row r="6">
      <c r="A6" s="2" t="inlineStr">
        <is>
          <t>Retail</t>
        </is>
      </c>
      <c r="B6" s="2" t="n">
        <v>5</v>
      </c>
      <c r="C6" s="8" t="n">
        <v>6</v>
      </c>
      <c r="D6" s="8" t="n">
        <v>2.7</v>
      </c>
      <c r="E6" s="2" t="inlineStr">
        <is>
          <t>Cross-checked against a separate figure of 20% loss at retail (S5), again measuring the share of volume reaching retail rather than the original harvest, but consistent with this column.</t>
        </is>
      </c>
      <c r="F6" s="2" t="inlineStr">
        <is>
          <t>S1;S3;S5</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18" customWidth="1" min="4" max="4"/>
    <col width="32" customWidth="1" min="5" max="5"/>
    <col width="60" customWidth="1" min="6" max="6"/>
  </cols>
  <sheetData>
    <row r="1">
      <c r="A1" s="7" t="inlineStr">
        <is>
          <t>state</t>
        </is>
      </c>
      <c r="B1" s="7" t="inlineStr">
        <is>
          <t>role</t>
        </is>
      </c>
      <c r="C1" s="7" t="inlineStr">
        <is>
          <t>price_naira_per_kg</t>
        </is>
      </c>
      <c r="D1" s="7" t="inlineStr">
        <is>
          <t>price_type</t>
        </is>
      </c>
      <c r="E1" s="7" t="inlineStr">
        <is>
          <t>reference_period</t>
        </is>
      </c>
      <c r="F1" s="7" t="inlineStr">
        <is>
          <t>basis</t>
        </is>
      </c>
    </row>
    <row r="2">
      <c r="A2" s="2" t="inlineStr">
        <is>
          <t>Kano</t>
        </is>
      </c>
      <c r="B2" s="2" t="inlineStr">
        <is>
          <t>origin_producer</t>
        </is>
      </c>
      <c r="C2" s="5" t="n">
        <v>523.64</v>
      </c>
      <c r="D2" s="5" t="inlineStr">
        <is>
          <t>farmgate_estimated</t>
        </is>
      </c>
      <c r="E2" s="2" t="inlineStr">
        <is>
          <t>2025 average</t>
        </is>
      </c>
      <c r="F2" s="2" t="inlineStr">
        <is>
          <t>Scaled down from the 2024 figure using the ratio between the 2025 national average (N1268.90) and the 2024 reference the model used to use (N2302.26). The original 2024 figure was itself anchored to Kano's real January 2024 price of N422.7/kg (S10), so this stays connected to a real number, just updated to reflect where prices actually landed in 2025.</t>
        </is>
      </c>
    </row>
    <row r="3">
      <c r="A3" s="2" t="inlineStr">
        <is>
          <t>Kaduna</t>
        </is>
      </c>
      <c r="B3" s="2" t="inlineStr">
        <is>
          <t>origin_producer</t>
        </is>
      </c>
      <c r="C3" s="5" t="n">
        <v>551.2</v>
      </c>
      <c r="D3" s="5" t="inlineStr">
        <is>
          <t>farmgate_estimated</t>
        </is>
      </c>
      <c r="E3" s="2" t="inlineStr">
        <is>
          <t>2025 average</t>
        </is>
      </c>
      <c r="F3" s="2" t="inlineStr">
        <is>
          <t>Scaled the same way as Kano, since Kaduna sits in the same producer belt and was assumed to price similarly (S10, S12).</t>
        </is>
      </c>
    </row>
    <row r="4">
      <c r="A4" s="2" t="inlineStr">
        <is>
          <t>Katsina</t>
        </is>
      </c>
      <c r="B4" s="2" t="inlineStr">
        <is>
          <t>origin_producer</t>
        </is>
      </c>
      <c r="C4" s="5" t="n">
        <v>551.2</v>
      </c>
      <c r="D4" s="5" t="inlineStr">
        <is>
          <t>farmgate_estimated</t>
        </is>
      </c>
      <c r="E4" s="2" t="inlineStr">
        <is>
          <t>2025 average</t>
        </is>
      </c>
      <c r="F4" s="2" t="inlineStr">
        <is>
          <t>Scaled the same way as Kaduna (S10, S12).</t>
        </is>
      </c>
    </row>
    <row r="5">
      <c r="A5" s="2" t="inlineStr">
        <is>
          <t>Jigawa</t>
        </is>
      </c>
      <c r="B5" s="2" t="inlineStr">
        <is>
          <t>origin_producer</t>
        </is>
      </c>
      <c r="C5" s="5" t="n">
        <v>523.64</v>
      </c>
      <c r="D5" s="5" t="inlineStr">
        <is>
          <t>farmgate_estimated</t>
        </is>
      </c>
      <c r="E5" s="2" t="inlineStr">
        <is>
          <t>2025 average</t>
        </is>
      </c>
      <c r="F5" s="2" t="inlineStr">
        <is>
          <t>Scaled the same way as Kano (S10, S12).</t>
        </is>
      </c>
    </row>
    <row r="6">
      <c r="A6" s="2" t="inlineStr">
        <is>
          <t>Plateau</t>
        </is>
      </c>
      <c r="B6" s="2" t="inlineStr">
        <is>
          <t>origin_producer</t>
        </is>
      </c>
      <c r="C6" s="5" t="n">
        <v>633.88</v>
      </c>
      <c r="D6" s="5" t="inlineStr">
        <is>
          <t>farmgate_estimated</t>
        </is>
      </c>
      <c r="E6" s="2" t="inlineStr">
        <is>
          <t>2025 average</t>
        </is>
      </c>
      <c r="F6" s="2" t="inlineStr">
        <is>
          <t>Scaled down from the 2024 estimate, which was already set slightly above the core belt due to distance from major consumption hubs (S10, S12).</t>
        </is>
      </c>
    </row>
    <row r="7">
      <c r="A7" s="2" t="inlineStr">
        <is>
          <t>Benue</t>
        </is>
      </c>
      <c r="B7" s="2" t="inlineStr">
        <is>
          <t>origin_producer</t>
        </is>
      </c>
      <c r="C7" s="5" t="n">
        <v>606.3200000000001</v>
      </c>
      <c r="D7" s="5" t="inlineStr">
        <is>
          <t>farmgate_estimated</t>
        </is>
      </c>
      <c r="E7" s="2" t="inlineStr">
        <is>
          <t>2025 average</t>
        </is>
      </c>
      <c r="F7" s="2" t="inlineStr">
        <is>
          <t>Scaled the same way as Plateau (S10, S12).</t>
        </is>
      </c>
    </row>
    <row r="8">
      <c r="A8" s="2" t="inlineStr">
        <is>
          <t>Gombe</t>
        </is>
      </c>
      <c r="B8" s="2" t="inlineStr">
        <is>
          <t>origin_producer</t>
        </is>
      </c>
      <c r="C8" s="5" t="n">
        <v>633.88</v>
      </c>
      <c r="D8" s="5" t="inlineStr">
        <is>
          <t>farmgate_estimated</t>
        </is>
      </c>
      <c r="E8" s="2" t="inlineStr">
        <is>
          <t>2025 average</t>
        </is>
      </c>
      <c r="F8" s="2" t="inlineStr">
        <is>
          <t>Scaled the same way as Plateau (S10, S12).</t>
        </is>
      </c>
    </row>
    <row r="9">
      <c r="A9" s="2" t="inlineStr">
        <is>
          <t>Bauchi</t>
        </is>
      </c>
      <c r="B9" s="2" t="inlineStr">
        <is>
          <t>origin_producer</t>
        </is>
      </c>
      <c r="C9" s="5" t="n">
        <v>633.88</v>
      </c>
      <c r="D9" s="5" t="inlineStr">
        <is>
          <t>farmgate_estimated</t>
        </is>
      </c>
      <c r="E9" s="2" t="inlineStr">
        <is>
          <t>2025 average</t>
        </is>
      </c>
      <c r="F9" s="2" t="inlineStr">
        <is>
          <t>Scaled the same way as Gombe (S10, S12).</t>
        </is>
      </c>
    </row>
    <row r="10">
      <c r="A10" s="2" t="inlineStr">
        <is>
          <t>Other_states</t>
        </is>
      </c>
      <c r="B10" s="2" t="inlineStr">
        <is>
          <t>origin_producer</t>
        </is>
      </c>
      <c r="C10" s="5" t="n">
        <v>606.3200000000001</v>
      </c>
      <c r="D10" s="5" t="inlineStr">
        <is>
          <t>farmgate_estimated</t>
        </is>
      </c>
      <c r="E10" s="2" t="inlineStr">
        <is>
          <t>2025 average</t>
        </is>
      </c>
      <c r="F10" s="2" t="inlineStr">
        <is>
          <t>A blended estimate across smaller producing states, scaled down the same way as the rest of the table (S12).</t>
        </is>
      </c>
    </row>
    <row r="11">
      <c r="A11" s="2" t="inlineStr">
        <is>
          <t>Lagos</t>
        </is>
      </c>
      <c r="B11" s="2" t="inlineStr">
        <is>
          <t>destination_market</t>
        </is>
      </c>
      <c r="C11" s="5" t="n">
        <v>1984.32</v>
      </c>
      <c r="D11" s="5" t="inlineStr">
        <is>
          <t>retail_estimated</t>
        </is>
      </c>
      <c r="E11" s="2" t="inlineStr">
        <is>
          <t>2025 average</t>
        </is>
      </c>
      <c r="F11" s="2" t="inlineStr">
        <is>
          <t>Scaled down from the 2024 estimate, which assumed a price close to Abuja's given both are major deficit markets far from the producer belt (S10, S12).</t>
        </is>
      </c>
    </row>
    <row r="12">
      <c r="A12" s="2" t="inlineStr">
        <is>
          <t>Abuja_FCT</t>
        </is>
      </c>
      <c r="B12" s="2" t="inlineStr">
        <is>
          <t>destination_market</t>
        </is>
      </c>
      <c r="C12" s="5" t="n">
        <v>2200.73</v>
      </c>
      <c r="D12" s="5" t="inlineStr">
        <is>
          <t>retail_estimated</t>
        </is>
      </c>
      <c r="E12" s="2" t="inlineStr">
        <is>
          <t>2025 average</t>
        </is>
      </c>
      <c r="F12" s="2" t="inlineStr">
        <is>
          <t>I don't have a 2025 NBS figure specifically for Abuja, so this is the 2024 actual figure (N3992.61, S10) scaled down by the same ratio applied everywhere else in this table. It's no longer a confirmed actual for this year, just the best estimate I can build from what's available.</t>
        </is>
      </c>
    </row>
    <row r="13">
      <c r="A13" s="2" t="inlineStr">
        <is>
          <t>Oyo_Ibadan</t>
        </is>
      </c>
      <c r="B13" s="2" t="inlineStr">
        <is>
          <t>destination_market</t>
        </is>
      </c>
      <c r="C13" s="5" t="n">
        <v>1322.88</v>
      </c>
      <c r="D13" s="5" t="inlineStr">
        <is>
          <t>retail_estimated</t>
        </is>
      </c>
      <c r="E13" s="2" t="inlineStr">
        <is>
          <t>2025 average</t>
        </is>
      </c>
      <c r="F13" s="2" t="inlineStr">
        <is>
          <t>Scaled down from the 2024 estimate, which assumed a price closer to the national average since Ibadan sits nearer the producer belt than Lagos (S10, S12).</t>
        </is>
      </c>
    </row>
    <row r="14">
      <c r="A14" s="2" t="inlineStr">
        <is>
          <t>National_average</t>
        </is>
      </c>
      <c r="B14" s="2" t="inlineStr">
        <is>
          <t>reference</t>
        </is>
      </c>
      <c r="C14" s="5" t="n">
        <v>1268.9</v>
      </c>
      <c r="D14" s="5" t="inlineStr">
        <is>
          <t>actual</t>
        </is>
      </c>
      <c r="E14" s="2" t="inlineStr">
        <is>
          <t>2025 average (Apr/Sep/Oct/Nov)</t>
        </is>
      </c>
      <c r="F14" s="2" t="inlineStr">
        <is>
          <t>Real NBS figure, averaged across the four months of 2025 data I could find (S12). This replaces the old reference point, which was a single month (June 2024) that happened to be the highest point of that year, not a representative one.</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N4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8" customWidth="1" min="3" max="3"/>
    <col width="60" customWidth="1" min="4" max="4"/>
    <col width="13" customWidth="1" min="5" max="5"/>
    <col width="18" customWidth="1" min="6" max="6"/>
    <col width="18" customWidth="1" min="7" max="7"/>
    <col width="18" customWidth="1" min="8" max="8"/>
    <col width="20" customWidth="1" min="9" max="9"/>
    <col width="18" customWidth="1" min="10" max="10"/>
    <col width="18" customWidth="1" min="11" max="11"/>
    <col width="18" customWidth="1" min="12" max="12"/>
    <col width="18" customWidth="1" min="13" max="13"/>
    <col width="18" customWidth="1" min="14" max="14"/>
  </cols>
  <sheetData>
    <row r="1">
      <c r="A1" s="7" t="inlineStr">
        <is>
          <t>state</t>
        </is>
      </c>
      <c r="B1" s="7" t="inlineStr">
        <is>
          <t>region</t>
        </is>
      </c>
      <c r="C1" s="7" t="inlineStr">
        <is>
          <t>annual_production_tonnes</t>
        </is>
      </c>
      <c r="D1" s="7" t="inlineStr">
        <is>
          <t>stage</t>
        </is>
      </c>
      <c r="E1" s="7" t="inlineStr">
        <is>
          <t>stage_order</t>
        </is>
      </c>
      <c r="F1" s="7" t="inlineStr">
        <is>
          <t>loss_pct_of_original_volume</t>
        </is>
      </c>
      <c r="G1" s="7" t="inlineStr">
        <is>
          <t>tonnes_lost_baseline</t>
        </is>
      </c>
      <c r="H1" s="7" t="inlineStr">
        <is>
          <t>naira_lost_baseline</t>
        </is>
      </c>
      <c r="I1" s="7" t="inlineStr">
        <is>
          <t>cold_chain_applied</t>
        </is>
      </c>
      <c r="J1" s="7" t="inlineStr">
        <is>
          <t>tonnes_lost_with_coldchain</t>
        </is>
      </c>
      <c r="K1" s="7" t="inlineStr">
        <is>
          <t>naira_lost_with_coldchain</t>
        </is>
      </c>
      <c r="L1" s="7" t="inlineStr">
        <is>
          <t>tonnes_saved_by_coldchain</t>
        </is>
      </c>
      <c r="M1" s="7" t="inlineStr">
        <is>
          <t>naira_saved_by_coldchain</t>
        </is>
      </c>
      <c r="N1" s="7" t="inlineStr">
        <is>
          <t>value_price_naira_per_kg_used</t>
        </is>
      </c>
    </row>
    <row r="2">
      <c r="A2" s="2" t="inlineStr">
        <is>
          <t>Kano</t>
        </is>
      </c>
      <c r="B2" s="2" t="inlineStr">
        <is>
          <t>North-West</t>
        </is>
      </c>
      <c r="C2" s="9" t="n">
        <v>506000</v>
      </c>
      <c r="D2" s="2" t="inlineStr">
        <is>
          <t>Farm / Harvest</t>
        </is>
      </c>
      <c r="E2" s="2" t="n">
        <v>1</v>
      </c>
      <c r="F2" s="8" t="n">
        <v>17.1</v>
      </c>
      <c r="G2" s="9" t="n">
        <v>86526</v>
      </c>
      <c r="H2" s="5" t="n">
        <v>45308474640</v>
      </c>
      <c r="I2" s="2" t="inlineStr">
        <is>
          <t>No</t>
        </is>
      </c>
      <c r="J2" s="9" t="n">
        <v>86526</v>
      </c>
      <c r="K2" s="5" t="n">
        <v>45308474640</v>
      </c>
      <c r="L2" s="9" t="n">
        <v>0</v>
      </c>
      <c r="M2" s="5" t="n">
        <v>0</v>
      </c>
      <c r="N2" s="5" t="n">
        <v>523.64</v>
      </c>
    </row>
    <row r="3">
      <c r="A3" s="2" t="inlineStr">
        <is>
          <t>Kano</t>
        </is>
      </c>
      <c r="B3" s="2" t="inlineStr">
        <is>
          <t>North-West</t>
        </is>
      </c>
      <c r="C3" s="9" t="n">
        <v>506000</v>
      </c>
      <c r="D3" s="2" t="inlineStr">
        <is>
          <t>Postharvest handling (on-farm sorting, packing, initial storage)</t>
        </is>
      </c>
      <c r="E3" s="2" t="n">
        <v>2</v>
      </c>
      <c r="F3" s="8" t="n">
        <v>15.3</v>
      </c>
      <c r="G3" s="9" t="n">
        <v>77418</v>
      </c>
      <c r="H3" s="5" t="n">
        <v>98235700200</v>
      </c>
      <c r="I3" s="2" t="inlineStr">
        <is>
          <t>Yes</t>
        </is>
      </c>
      <c r="J3" s="9" t="n">
        <v>54192.6</v>
      </c>
      <c r="K3" s="5" t="n">
        <v>68764990140</v>
      </c>
      <c r="L3" s="9" t="n">
        <v>23225.4</v>
      </c>
      <c r="M3" s="5" t="n">
        <v>29470710060</v>
      </c>
      <c r="N3" s="5" t="n">
        <v>1268.9</v>
      </c>
    </row>
    <row r="4">
      <c r="A4" s="2" t="inlineStr">
        <is>
          <t>Kano</t>
        </is>
      </c>
      <c r="B4" s="2" t="inlineStr">
        <is>
          <t>North-West</t>
        </is>
      </c>
      <c r="C4" s="9" t="n">
        <v>506000</v>
      </c>
      <c r="D4" s="2" t="inlineStr">
        <is>
          <t>Transport</t>
        </is>
      </c>
      <c r="E4" s="2" t="n">
        <v>3</v>
      </c>
      <c r="F4" s="8" t="n">
        <v>6.3</v>
      </c>
      <c r="G4" s="9" t="n">
        <v>31878</v>
      </c>
      <c r="H4" s="5" t="n">
        <v>40449994200</v>
      </c>
      <c r="I4" s="2" t="inlineStr">
        <is>
          <t>Yes</t>
        </is>
      </c>
      <c r="J4" s="9" t="n">
        <v>22314.6</v>
      </c>
      <c r="K4" s="5" t="n">
        <v>28314995940</v>
      </c>
      <c r="L4" s="9" t="n">
        <v>9563.4</v>
      </c>
      <c r="M4" s="5" t="n">
        <v>12134998260</v>
      </c>
      <c r="N4" s="5" t="n">
        <v>1268.9</v>
      </c>
    </row>
    <row r="5">
      <c r="A5" s="2" t="inlineStr">
        <is>
          <t>Kano</t>
        </is>
      </c>
      <c r="B5" s="2" t="inlineStr">
        <is>
          <t>North-West</t>
        </is>
      </c>
      <c r="C5" s="9" t="n">
        <v>506000</v>
      </c>
      <c r="D5" s="2" t="inlineStr">
        <is>
          <t>Wholesale market</t>
        </is>
      </c>
      <c r="E5" s="2" t="n">
        <v>4</v>
      </c>
      <c r="F5" s="8" t="n">
        <v>3.6</v>
      </c>
      <c r="G5" s="9" t="n">
        <v>18216</v>
      </c>
      <c r="H5" s="5" t="n">
        <v>23114282400</v>
      </c>
      <c r="I5" s="2" t="inlineStr">
        <is>
          <t>Yes</t>
        </is>
      </c>
      <c r="J5" s="9" t="n">
        <v>12751.2</v>
      </c>
      <c r="K5" s="5" t="n">
        <v>16179997680</v>
      </c>
      <c r="L5" s="9" t="n">
        <v>5464.8</v>
      </c>
      <c r="M5" s="5" t="n">
        <v>6934284720</v>
      </c>
      <c r="N5" s="5" t="n">
        <v>1268.9</v>
      </c>
    </row>
    <row r="6">
      <c r="A6" s="2" t="inlineStr">
        <is>
          <t>Kano</t>
        </is>
      </c>
      <c r="B6" s="2" t="inlineStr">
        <is>
          <t>North-West</t>
        </is>
      </c>
      <c r="C6" s="9" t="n">
        <v>506000</v>
      </c>
      <c r="D6" s="2" t="inlineStr">
        <is>
          <t>Retail</t>
        </is>
      </c>
      <c r="E6" s="2" t="n">
        <v>5</v>
      </c>
      <c r="F6" s="8" t="n">
        <v>2.7</v>
      </c>
      <c r="G6" s="9" t="n">
        <v>13662</v>
      </c>
      <c r="H6" s="5" t="n">
        <v>17335711800</v>
      </c>
      <c r="I6" s="2" t="inlineStr">
        <is>
          <t>Yes</t>
        </is>
      </c>
      <c r="J6" s="9" t="n">
        <v>9563.4</v>
      </c>
      <c r="K6" s="5" t="n">
        <v>12134998260</v>
      </c>
      <c r="L6" s="9" t="n">
        <v>4098.6</v>
      </c>
      <c r="M6" s="5" t="n">
        <v>5200713540</v>
      </c>
      <c r="N6" s="5" t="n">
        <v>1268.9</v>
      </c>
    </row>
    <row r="7">
      <c r="A7" s="2" t="inlineStr">
        <is>
          <t>Kaduna</t>
        </is>
      </c>
      <c r="B7" s="2" t="inlineStr">
        <is>
          <t>North-West</t>
        </is>
      </c>
      <c r="C7" s="9" t="n">
        <v>460000</v>
      </c>
      <c r="D7" s="2" t="inlineStr">
        <is>
          <t>Farm / Harvest</t>
        </is>
      </c>
      <c r="E7" s="2" t="n">
        <v>1</v>
      </c>
      <c r="F7" s="8" t="n">
        <v>17.1</v>
      </c>
      <c r="G7" s="9" t="n">
        <v>78660</v>
      </c>
      <c r="H7" s="5" t="n">
        <v>43357392000</v>
      </c>
      <c r="I7" s="2" t="inlineStr">
        <is>
          <t>No</t>
        </is>
      </c>
      <c r="J7" s="9" t="n">
        <v>78660</v>
      </c>
      <c r="K7" s="5" t="n">
        <v>43357392000</v>
      </c>
      <c r="L7" s="9" t="n">
        <v>0</v>
      </c>
      <c r="M7" s="5" t="n">
        <v>0</v>
      </c>
      <c r="N7" s="5" t="n">
        <v>551.2</v>
      </c>
    </row>
    <row r="8">
      <c r="A8" s="2" t="inlineStr">
        <is>
          <t>Kaduna</t>
        </is>
      </c>
      <c r="B8" s="2" t="inlineStr">
        <is>
          <t>North-West</t>
        </is>
      </c>
      <c r="C8" s="9" t="n">
        <v>460000</v>
      </c>
      <c r="D8" s="2" t="inlineStr">
        <is>
          <t>Postharvest handling (on-farm sorting, packing, initial storage)</t>
        </is>
      </c>
      <c r="E8" s="2" t="n">
        <v>2</v>
      </c>
      <c r="F8" s="8" t="n">
        <v>15.3</v>
      </c>
      <c r="G8" s="9" t="n">
        <v>70380</v>
      </c>
      <c r="H8" s="5" t="n">
        <v>89305182000</v>
      </c>
      <c r="I8" s="2" t="inlineStr">
        <is>
          <t>Yes</t>
        </is>
      </c>
      <c r="J8" s="9" t="n">
        <v>49266</v>
      </c>
      <c r="K8" s="5" t="n">
        <v>62513627400</v>
      </c>
      <c r="L8" s="9" t="n">
        <v>21114</v>
      </c>
      <c r="M8" s="5" t="n">
        <v>26791554600</v>
      </c>
      <c r="N8" s="5" t="n">
        <v>1268.9</v>
      </c>
    </row>
    <row r="9">
      <c r="A9" s="2" t="inlineStr">
        <is>
          <t>Kaduna</t>
        </is>
      </c>
      <c r="B9" s="2" t="inlineStr">
        <is>
          <t>North-West</t>
        </is>
      </c>
      <c r="C9" s="9" t="n">
        <v>460000</v>
      </c>
      <c r="D9" s="2" t="inlineStr">
        <is>
          <t>Transport</t>
        </is>
      </c>
      <c r="E9" s="2" t="n">
        <v>3</v>
      </c>
      <c r="F9" s="8" t="n">
        <v>6.3</v>
      </c>
      <c r="G9" s="9" t="n">
        <v>28980</v>
      </c>
      <c r="H9" s="5" t="n">
        <v>36772722000</v>
      </c>
      <c r="I9" s="2" t="inlineStr">
        <is>
          <t>Yes</t>
        </is>
      </c>
      <c r="J9" s="9" t="n">
        <v>20286</v>
      </c>
      <c r="K9" s="5" t="n">
        <v>25740905400</v>
      </c>
      <c r="L9" s="9" t="n">
        <v>8694</v>
      </c>
      <c r="M9" s="5" t="n">
        <v>11031816600</v>
      </c>
      <c r="N9" s="5" t="n">
        <v>1268.9</v>
      </c>
    </row>
    <row r="10">
      <c r="A10" s="2" t="inlineStr">
        <is>
          <t>Kaduna</t>
        </is>
      </c>
      <c r="B10" s="2" t="inlineStr">
        <is>
          <t>North-West</t>
        </is>
      </c>
      <c r="C10" s="9" t="n">
        <v>460000</v>
      </c>
      <c r="D10" s="2" t="inlineStr">
        <is>
          <t>Wholesale market</t>
        </is>
      </c>
      <c r="E10" s="2" t="n">
        <v>4</v>
      </c>
      <c r="F10" s="8" t="n">
        <v>3.6</v>
      </c>
      <c r="G10" s="9" t="n">
        <v>16560</v>
      </c>
      <c r="H10" s="5" t="n">
        <v>21012984000</v>
      </c>
      <c r="I10" s="2" t="inlineStr">
        <is>
          <t>Yes</t>
        </is>
      </c>
      <c r="J10" s="9" t="n">
        <v>11592</v>
      </c>
      <c r="K10" s="5" t="n">
        <v>14709088800</v>
      </c>
      <c r="L10" s="9" t="n">
        <v>4968</v>
      </c>
      <c r="M10" s="5" t="n">
        <v>6303895200</v>
      </c>
      <c r="N10" s="5" t="n">
        <v>1268.9</v>
      </c>
    </row>
    <row r="11">
      <c r="A11" s="2" t="inlineStr">
        <is>
          <t>Kaduna</t>
        </is>
      </c>
      <c r="B11" s="2" t="inlineStr">
        <is>
          <t>North-West</t>
        </is>
      </c>
      <c r="C11" s="9" t="n">
        <v>460000</v>
      </c>
      <c r="D11" s="2" t="inlineStr">
        <is>
          <t>Retail</t>
        </is>
      </c>
      <c r="E11" s="2" t="n">
        <v>5</v>
      </c>
      <c r="F11" s="8" t="n">
        <v>2.7</v>
      </c>
      <c r="G11" s="9" t="n">
        <v>12420</v>
      </c>
      <c r="H11" s="5" t="n">
        <v>15759738000</v>
      </c>
      <c r="I11" s="2" t="inlineStr">
        <is>
          <t>Yes</t>
        </is>
      </c>
      <c r="J11" s="9" t="n">
        <v>8694</v>
      </c>
      <c r="K11" s="5" t="n">
        <v>11031816600</v>
      </c>
      <c r="L11" s="9" t="n">
        <v>3726</v>
      </c>
      <c r="M11" s="5" t="n">
        <v>4727921400</v>
      </c>
      <c r="N11" s="5" t="n">
        <v>1268.9</v>
      </c>
    </row>
    <row r="12">
      <c r="A12" s="2" t="inlineStr">
        <is>
          <t>Katsina</t>
        </is>
      </c>
      <c r="B12" s="2" t="inlineStr">
        <is>
          <t>North-West</t>
        </is>
      </c>
      <c r="C12" s="9" t="n">
        <v>345000</v>
      </c>
      <c r="D12" s="2" t="inlineStr">
        <is>
          <t>Farm / Harvest</t>
        </is>
      </c>
      <c r="E12" s="2" t="n">
        <v>1</v>
      </c>
      <c r="F12" s="8" t="n">
        <v>17.1</v>
      </c>
      <c r="G12" s="9" t="n">
        <v>58995</v>
      </c>
      <c r="H12" s="5" t="n">
        <v>32518044000</v>
      </c>
      <c r="I12" s="2" t="inlineStr">
        <is>
          <t>No</t>
        </is>
      </c>
      <c r="J12" s="9" t="n">
        <v>58995</v>
      </c>
      <c r="K12" s="5" t="n">
        <v>32518044000</v>
      </c>
      <c r="L12" s="9" t="n">
        <v>0</v>
      </c>
      <c r="M12" s="5" t="n">
        <v>0</v>
      </c>
      <c r="N12" s="5" t="n">
        <v>551.2</v>
      </c>
    </row>
    <row r="13">
      <c r="A13" s="2" t="inlineStr">
        <is>
          <t>Katsina</t>
        </is>
      </c>
      <c r="B13" s="2" t="inlineStr">
        <is>
          <t>North-West</t>
        </is>
      </c>
      <c r="C13" s="9" t="n">
        <v>345000</v>
      </c>
      <c r="D13" s="2" t="inlineStr">
        <is>
          <t>Postharvest handling (on-farm sorting, packing, initial storage)</t>
        </is>
      </c>
      <c r="E13" s="2" t="n">
        <v>2</v>
      </c>
      <c r="F13" s="8" t="n">
        <v>15.3</v>
      </c>
      <c r="G13" s="9" t="n">
        <v>52785</v>
      </c>
      <c r="H13" s="5" t="n">
        <v>66978886500</v>
      </c>
      <c r="I13" s="2" t="inlineStr">
        <is>
          <t>Yes</t>
        </is>
      </c>
      <c r="J13" s="9" t="n">
        <v>36949.5</v>
      </c>
      <c r="K13" s="5" t="n">
        <v>46885220550</v>
      </c>
      <c r="L13" s="9" t="n">
        <v>15835.5</v>
      </c>
      <c r="M13" s="5" t="n">
        <v>20093665950</v>
      </c>
      <c r="N13" s="5" t="n">
        <v>1268.9</v>
      </c>
    </row>
    <row r="14">
      <c r="A14" s="2" t="inlineStr">
        <is>
          <t>Katsina</t>
        </is>
      </c>
      <c r="B14" s="2" t="inlineStr">
        <is>
          <t>North-West</t>
        </is>
      </c>
      <c r="C14" s="9" t="n">
        <v>345000</v>
      </c>
      <c r="D14" s="2" t="inlineStr">
        <is>
          <t>Transport</t>
        </is>
      </c>
      <c r="E14" s="2" t="n">
        <v>3</v>
      </c>
      <c r="F14" s="8" t="n">
        <v>6.3</v>
      </c>
      <c r="G14" s="9" t="n">
        <v>21735</v>
      </c>
      <c r="H14" s="5" t="n">
        <v>27579541500</v>
      </c>
      <c r="I14" s="2" t="inlineStr">
        <is>
          <t>Yes</t>
        </is>
      </c>
      <c r="J14" s="9" t="n">
        <v>15214.5</v>
      </c>
      <c r="K14" s="5" t="n">
        <v>19305679050</v>
      </c>
      <c r="L14" s="9" t="n">
        <v>6520.5</v>
      </c>
      <c r="M14" s="5" t="n">
        <v>8273862450</v>
      </c>
      <c r="N14" s="5" t="n">
        <v>1268.9</v>
      </c>
    </row>
    <row r="15">
      <c r="A15" s="2" t="inlineStr">
        <is>
          <t>Katsina</t>
        </is>
      </c>
      <c r="B15" s="2" t="inlineStr">
        <is>
          <t>North-West</t>
        </is>
      </c>
      <c r="C15" s="9" t="n">
        <v>345000</v>
      </c>
      <c r="D15" s="2" t="inlineStr">
        <is>
          <t>Wholesale market</t>
        </is>
      </c>
      <c r="E15" s="2" t="n">
        <v>4</v>
      </c>
      <c r="F15" s="8" t="n">
        <v>3.6</v>
      </c>
      <c r="G15" s="9" t="n">
        <v>12420</v>
      </c>
      <c r="H15" s="5" t="n">
        <v>15759738000</v>
      </c>
      <c r="I15" s="2" t="inlineStr">
        <is>
          <t>Yes</t>
        </is>
      </c>
      <c r="J15" s="9" t="n">
        <v>8694</v>
      </c>
      <c r="K15" s="5" t="n">
        <v>11031816600</v>
      </c>
      <c r="L15" s="9" t="n">
        <v>3726</v>
      </c>
      <c r="M15" s="5" t="n">
        <v>4727921400</v>
      </c>
      <c r="N15" s="5" t="n">
        <v>1268.9</v>
      </c>
    </row>
    <row r="16">
      <c r="A16" s="2" t="inlineStr">
        <is>
          <t>Katsina</t>
        </is>
      </c>
      <c r="B16" s="2" t="inlineStr">
        <is>
          <t>North-West</t>
        </is>
      </c>
      <c r="C16" s="9" t="n">
        <v>345000</v>
      </c>
      <c r="D16" s="2" t="inlineStr">
        <is>
          <t>Retail</t>
        </is>
      </c>
      <c r="E16" s="2" t="n">
        <v>5</v>
      </c>
      <c r="F16" s="8" t="n">
        <v>2.7</v>
      </c>
      <c r="G16" s="9" t="n">
        <v>9315</v>
      </c>
      <c r="H16" s="5" t="n">
        <v>11819803500</v>
      </c>
      <c r="I16" s="2" t="inlineStr">
        <is>
          <t>Yes</t>
        </is>
      </c>
      <c r="J16" s="9" t="n">
        <v>6520.5</v>
      </c>
      <c r="K16" s="5" t="n">
        <v>8273862450</v>
      </c>
      <c r="L16" s="9" t="n">
        <v>2794.5</v>
      </c>
      <c r="M16" s="5" t="n">
        <v>3545941050</v>
      </c>
      <c r="N16" s="5" t="n">
        <v>1268.9</v>
      </c>
    </row>
    <row r="17">
      <c r="A17" s="2" t="inlineStr">
        <is>
          <t>Jigawa</t>
        </is>
      </c>
      <c r="B17" s="2" t="inlineStr">
        <is>
          <t>North-West</t>
        </is>
      </c>
      <c r="C17" s="9" t="n">
        <v>230000</v>
      </c>
      <c r="D17" s="2" t="inlineStr">
        <is>
          <t>Farm / Harvest</t>
        </is>
      </c>
      <c r="E17" s="2" t="n">
        <v>1</v>
      </c>
      <c r="F17" s="8" t="n">
        <v>17.1</v>
      </c>
      <c r="G17" s="9" t="n">
        <v>39330</v>
      </c>
      <c r="H17" s="5" t="n">
        <v>20594761200</v>
      </c>
      <c r="I17" s="2" t="inlineStr">
        <is>
          <t>No</t>
        </is>
      </c>
      <c r="J17" s="9" t="n">
        <v>39330</v>
      </c>
      <c r="K17" s="5" t="n">
        <v>20594761200</v>
      </c>
      <c r="L17" s="9" t="n">
        <v>0</v>
      </c>
      <c r="M17" s="5" t="n">
        <v>0</v>
      </c>
      <c r="N17" s="5" t="n">
        <v>523.64</v>
      </c>
    </row>
    <row r="18">
      <c r="A18" s="2" t="inlineStr">
        <is>
          <t>Jigawa</t>
        </is>
      </c>
      <c r="B18" s="2" t="inlineStr">
        <is>
          <t>North-West</t>
        </is>
      </c>
      <c r="C18" s="9" t="n">
        <v>230000</v>
      </c>
      <c r="D18" s="2" t="inlineStr">
        <is>
          <t>Postharvest handling (on-farm sorting, packing, initial storage)</t>
        </is>
      </c>
      <c r="E18" s="2" t="n">
        <v>2</v>
      </c>
      <c r="F18" s="8" t="n">
        <v>15.3</v>
      </c>
      <c r="G18" s="9" t="n">
        <v>35190</v>
      </c>
      <c r="H18" s="5" t="n">
        <v>44652591000</v>
      </c>
      <c r="I18" s="2" t="inlineStr">
        <is>
          <t>Yes</t>
        </is>
      </c>
      <c r="J18" s="9" t="n">
        <v>24633</v>
      </c>
      <c r="K18" s="5" t="n">
        <v>31256813700</v>
      </c>
      <c r="L18" s="9" t="n">
        <v>10557</v>
      </c>
      <c r="M18" s="5" t="n">
        <v>13395777300</v>
      </c>
      <c r="N18" s="5" t="n">
        <v>1268.9</v>
      </c>
    </row>
    <row r="19">
      <c r="A19" s="2" t="inlineStr">
        <is>
          <t>Jigawa</t>
        </is>
      </c>
      <c r="B19" s="2" t="inlineStr">
        <is>
          <t>North-West</t>
        </is>
      </c>
      <c r="C19" s="9" t="n">
        <v>230000</v>
      </c>
      <c r="D19" s="2" t="inlineStr">
        <is>
          <t>Transport</t>
        </is>
      </c>
      <c r="E19" s="2" t="n">
        <v>3</v>
      </c>
      <c r="F19" s="8" t="n">
        <v>6.3</v>
      </c>
      <c r="G19" s="9" t="n">
        <v>14490</v>
      </c>
      <c r="H19" s="5" t="n">
        <v>18386361000</v>
      </c>
      <c r="I19" s="2" t="inlineStr">
        <is>
          <t>Yes</t>
        </is>
      </c>
      <c r="J19" s="9" t="n">
        <v>10143</v>
      </c>
      <c r="K19" s="5" t="n">
        <v>12870452700</v>
      </c>
      <c r="L19" s="9" t="n">
        <v>4347</v>
      </c>
      <c r="M19" s="5" t="n">
        <v>5515908300</v>
      </c>
      <c r="N19" s="5" t="n">
        <v>1268.9</v>
      </c>
    </row>
    <row r="20">
      <c r="A20" s="2" t="inlineStr">
        <is>
          <t>Jigawa</t>
        </is>
      </c>
      <c r="B20" s="2" t="inlineStr">
        <is>
          <t>North-West</t>
        </is>
      </c>
      <c r="C20" s="9" t="n">
        <v>230000</v>
      </c>
      <c r="D20" s="2" t="inlineStr">
        <is>
          <t>Wholesale market</t>
        </is>
      </c>
      <c r="E20" s="2" t="n">
        <v>4</v>
      </c>
      <c r="F20" s="8" t="n">
        <v>3.6</v>
      </c>
      <c r="G20" s="9" t="n">
        <v>8280</v>
      </c>
      <c r="H20" s="5" t="n">
        <v>10506492000</v>
      </c>
      <c r="I20" s="2" t="inlineStr">
        <is>
          <t>Yes</t>
        </is>
      </c>
      <c r="J20" s="9" t="n">
        <v>5796</v>
      </c>
      <c r="K20" s="5" t="n">
        <v>7354544400</v>
      </c>
      <c r="L20" s="9" t="n">
        <v>2484</v>
      </c>
      <c r="M20" s="5" t="n">
        <v>3151947600</v>
      </c>
      <c r="N20" s="5" t="n">
        <v>1268.9</v>
      </c>
    </row>
    <row r="21">
      <c r="A21" s="2" t="inlineStr">
        <is>
          <t>Jigawa</t>
        </is>
      </c>
      <c r="B21" s="2" t="inlineStr">
        <is>
          <t>North-West</t>
        </is>
      </c>
      <c r="C21" s="9" t="n">
        <v>230000</v>
      </c>
      <c r="D21" s="2" t="inlineStr">
        <is>
          <t>Retail</t>
        </is>
      </c>
      <c r="E21" s="2" t="n">
        <v>5</v>
      </c>
      <c r="F21" s="8" t="n">
        <v>2.7</v>
      </c>
      <c r="G21" s="9" t="n">
        <v>6210</v>
      </c>
      <c r="H21" s="5" t="n">
        <v>7879869000</v>
      </c>
      <c r="I21" s="2" t="inlineStr">
        <is>
          <t>Yes</t>
        </is>
      </c>
      <c r="J21" s="9" t="n">
        <v>4347</v>
      </c>
      <c r="K21" s="5" t="n">
        <v>5515908300</v>
      </c>
      <c r="L21" s="9" t="n">
        <v>1863</v>
      </c>
      <c r="M21" s="5" t="n">
        <v>2363960700</v>
      </c>
      <c r="N21" s="5" t="n">
        <v>1268.9</v>
      </c>
    </row>
    <row r="22">
      <c r="A22" s="2" t="inlineStr">
        <is>
          <t>Plateau</t>
        </is>
      </c>
      <c r="B22" s="2" t="inlineStr">
        <is>
          <t>North-Central</t>
        </is>
      </c>
      <c r="C22" s="9" t="n">
        <v>184000</v>
      </c>
      <c r="D22" s="2" t="inlineStr">
        <is>
          <t>Farm / Harvest</t>
        </is>
      </c>
      <c r="E22" s="2" t="n">
        <v>1</v>
      </c>
      <c r="F22" s="8" t="n">
        <v>17.1</v>
      </c>
      <c r="G22" s="9" t="n">
        <v>31464</v>
      </c>
      <c r="H22" s="5" t="n">
        <v>19944400320</v>
      </c>
      <c r="I22" s="2" t="inlineStr">
        <is>
          <t>No</t>
        </is>
      </c>
      <c r="J22" s="9" t="n">
        <v>31464</v>
      </c>
      <c r="K22" s="5" t="n">
        <v>19944400320</v>
      </c>
      <c r="L22" s="9" t="n">
        <v>0</v>
      </c>
      <c r="M22" s="5" t="n">
        <v>0</v>
      </c>
      <c r="N22" s="5" t="n">
        <v>633.88</v>
      </c>
    </row>
    <row r="23">
      <c r="A23" s="2" t="inlineStr">
        <is>
          <t>Plateau</t>
        </is>
      </c>
      <c r="B23" s="2" t="inlineStr">
        <is>
          <t>North-Central</t>
        </is>
      </c>
      <c r="C23" s="9" t="n">
        <v>184000</v>
      </c>
      <c r="D23" s="2" t="inlineStr">
        <is>
          <t>Postharvest handling (on-farm sorting, packing, initial storage)</t>
        </is>
      </c>
      <c r="E23" s="2" t="n">
        <v>2</v>
      </c>
      <c r="F23" s="8" t="n">
        <v>15.3</v>
      </c>
      <c r="G23" s="9" t="n">
        <v>28152</v>
      </c>
      <c r="H23" s="5" t="n">
        <v>35722072800</v>
      </c>
      <c r="I23" s="2" t="inlineStr">
        <is>
          <t>Yes</t>
        </is>
      </c>
      <c r="J23" s="9" t="n">
        <v>19706.4</v>
      </c>
      <c r="K23" s="5" t="n">
        <v>25005450960</v>
      </c>
      <c r="L23" s="9" t="n">
        <v>8445.6</v>
      </c>
      <c r="M23" s="5" t="n">
        <v>10716621840</v>
      </c>
      <c r="N23" s="5" t="n">
        <v>1268.9</v>
      </c>
    </row>
    <row r="24">
      <c r="A24" s="2" t="inlineStr">
        <is>
          <t>Plateau</t>
        </is>
      </c>
      <c r="B24" s="2" t="inlineStr">
        <is>
          <t>North-Central</t>
        </is>
      </c>
      <c r="C24" s="9" t="n">
        <v>184000</v>
      </c>
      <c r="D24" s="2" t="inlineStr">
        <is>
          <t>Transport</t>
        </is>
      </c>
      <c r="E24" s="2" t="n">
        <v>3</v>
      </c>
      <c r="F24" s="8" t="n">
        <v>6.3</v>
      </c>
      <c r="G24" s="9" t="n">
        <v>11592</v>
      </c>
      <c r="H24" s="5" t="n">
        <v>14709088800</v>
      </c>
      <c r="I24" s="2" t="inlineStr">
        <is>
          <t>Yes</t>
        </is>
      </c>
      <c r="J24" s="9" t="n">
        <v>8114.4</v>
      </c>
      <c r="K24" s="5" t="n">
        <v>10296362160</v>
      </c>
      <c r="L24" s="9" t="n">
        <v>3477.6</v>
      </c>
      <c r="M24" s="5" t="n">
        <v>4412726640</v>
      </c>
      <c r="N24" s="5" t="n">
        <v>1268.9</v>
      </c>
    </row>
    <row r="25">
      <c r="A25" s="2" t="inlineStr">
        <is>
          <t>Plateau</t>
        </is>
      </c>
      <c r="B25" s="2" t="inlineStr">
        <is>
          <t>North-Central</t>
        </is>
      </c>
      <c r="C25" s="9" t="n">
        <v>184000</v>
      </c>
      <c r="D25" s="2" t="inlineStr">
        <is>
          <t>Wholesale market</t>
        </is>
      </c>
      <c r="E25" s="2" t="n">
        <v>4</v>
      </c>
      <c r="F25" s="8" t="n">
        <v>3.6</v>
      </c>
      <c r="G25" s="9" t="n">
        <v>6624</v>
      </c>
      <c r="H25" s="5" t="n">
        <v>8405193600</v>
      </c>
      <c r="I25" s="2" t="inlineStr">
        <is>
          <t>Yes</t>
        </is>
      </c>
      <c r="J25" s="9" t="n">
        <v>4636.8</v>
      </c>
      <c r="K25" s="5" t="n">
        <v>5883635520</v>
      </c>
      <c r="L25" s="9" t="n">
        <v>1987.2</v>
      </c>
      <c r="M25" s="5" t="n">
        <v>2521558080</v>
      </c>
      <c r="N25" s="5" t="n">
        <v>1268.9</v>
      </c>
    </row>
    <row r="26">
      <c r="A26" s="2" t="inlineStr">
        <is>
          <t>Plateau</t>
        </is>
      </c>
      <c r="B26" s="2" t="inlineStr">
        <is>
          <t>North-Central</t>
        </is>
      </c>
      <c r="C26" s="9" t="n">
        <v>184000</v>
      </c>
      <c r="D26" s="2" t="inlineStr">
        <is>
          <t>Retail</t>
        </is>
      </c>
      <c r="E26" s="2" t="n">
        <v>5</v>
      </c>
      <c r="F26" s="8" t="n">
        <v>2.7</v>
      </c>
      <c r="G26" s="9" t="n">
        <v>4968</v>
      </c>
      <c r="H26" s="5" t="n">
        <v>6303895200</v>
      </c>
      <c r="I26" s="2" t="inlineStr">
        <is>
          <t>Yes</t>
        </is>
      </c>
      <c r="J26" s="9" t="n">
        <v>3477.6</v>
      </c>
      <c r="K26" s="5" t="n">
        <v>4412726640</v>
      </c>
      <c r="L26" s="9" t="n">
        <v>1490.4</v>
      </c>
      <c r="M26" s="5" t="n">
        <v>1891168560</v>
      </c>
      <c r="N26" s="5" t="n">
        <v>1268.9</v>
      </c>
    </row>
    <row r="27">
      <c r="A27" s="2" t="inlineStr">
        <is>
          <t>Benue</t>
        </is>
      </c>
      <c r="B27" s="2" t="inlineStr">
        <is>
          <t>North-Central</t>
        </is>
      </c>
      <c r="C27" s="9" t="n">
        <v>184000</v>
      </c>
      <c r="D27" s="2" t="inlineStr">
        <is>
          <t>Farm / Harvest</t>
        </is>
      </c>
      <c r="E27" s="2" t="n">
        <v>1</v>
      </c>
      <c r="F27" s="8" t="n">
        <v>17.1</v>
      </c>
      <c r="G27" s="9" t="n">
        <v>31464</v>
      </c>
      <c r="H27" s="5" t="n">
        <v>19077252480</v>
      </c>
      <c r="I27" s="2" t="inlineStr">
        <is>
          <t>No</t>
        </is>
      </c>
      <c r="J27" s="9" t="n">
        <v>31464</v>
      </c>
      <c r="K27" s="5" t="n">
        <v>19077252480</v>
      </c>
      <c r="L27" s="9" t="n">
        <v>0</v>
      </c>
      <c r="M27" s="5" t="n">
        <v>0</v>
      </c>
      <c r="N27" s="5" t="n">
        <v>606.3200000000001</v>
      </c>
    </row>
    <row r="28">
      <c r="A28" s="2" t="inlineStr">
        <is>
          <t>Benue</t>
        </is>
      </c>
      <c r="B28" s="2" t="inlineStr">
        <is>
          <t>North-Central</t>
        </is>
      </c>
      <c r="C28" s="9" t="n">
        <v>184000</v>
      </c>
      <c r="D28" s="2" t="inlineStr">
        <is>
          <t>Postharvest handling (on-farm sorting, packing, initial storage)</t>
        </is>
      </c>
      <c r="E28" s="2" t="n">
        <v>2</v>
      </c>
      <c r="F28" s="8" t="n">
        <v>15.3</v>
      </c>
      <c r="G28" s="9" t="n">
        <v>28152</v>
      </c>
      <c r="H28" s="5" t="n">
        <v>35722072800</v>
      </c>
      <c r="I28" s="2" t="inlineStr">
        <is>
          <t>Yes</t>
        </is>
      </c>
      <c r="J28" s="9" t="n">
        <v>19706.4</v>
      </c>
      <c r="K28" s="5" t="n">
        <v>25005450960</v>
      </c>
      <c r="L28" s="9" t="n">
        <v>8445.6</v>
      </c>
      <c r="M28" s="5" t="n">
        <v>10716621840</v>
      </c>
      <c r="N28" s="5" t="n">
        <v>1268.9</v>
      </c>
    </row>
    <row r="29">
      <c r="A29" s="2" t="inlineStr">
        <is>
          <t>Benue</t>
        </is>
      </c>
      <c r="B29" s="2" t="inlineStr">
        <is>
          <t>North-Central</t>
        </is>
      </c>
      <c r="C29" s="9" t="n">
        <v>184000</v>
      </c>
      <c r="D29" s="2" t="inlineStr">
        <is>
          <t>Transport</t>
        </is>
      </c>
      <c r="E29" s="2" t="n">
        <v>3</v>
      </c>
      <c r="F29" s="8" t="n">
        <v>6.3</v>
      </c>
      <c r="G29" s="9" t="n">
        <v>11592</v>
      </c>
      <c r="H29" s="5" t="n">
        <v>14709088800</v>
      </c>
      <c r="I29" s="2" t="inlineStr">
        <is>
          <t>Yes</t>
        </is>
      </c>
      <c r="J29" s="9" t="n">
        <v>8114.4</v>
      </c>
      <c r="K29" s="5" t="n">
        <v>10296362160</v>
      </c>
      <c r="L29" s="9" t="n">
        <v>3477.6</v>
      </c>
      <c r="M29" s="5" t="n">
        <v>4412726640</v>
      </c>
      <c r="N29" s="5" t="n">
        <v>1268.9</v>
      </c>
    </row>
    <row r="30">
      <c r="A30" s="2" t="inlineStr">
        <is>
          <t>Benue</t>
        </is>
      </c>
      <c r="B30" s="2" t="inlineStr">
        <is>
          <t>North-Central</t>
        </is>
      </c>
      <c r="C30" s="9" t="n">
        <v>184000</v>
      </c>
      <c r="D30" s="2" t="inlineStr">
        <is>
          <t>Wholesale market</t>
        </is>
      </c>
      <c r="E30" s="2" t="n">
        <v>4</v>
      </c>
      <c r="F30" s="8" t="n">
        <v>3.6</v>
      </c>
      <c r="G30" s="9" t="n">
        <v>6624</v>
      </c>
      <c r="H30" s="5" t="n">
        <v>8405193600</v>
      </c>
      <c r="I30" s="2" t="inlineStr">
        <is>
          <t>Yes</t>
        </is>
      </c>
      <c r="J30" s="9" t="n">
        <v>4636.8</v>
      </c>
      <c r="K30" s="5" t="n">
        <v>5883635520</v>
      </c>
      <c r="L30" s="9" t="n">
        <v>1987.2</v>
      </c>
      <c r="M30" s="5" t="n">
        <v>2521558080</v>
      </c>
      <c r="N30" s="5" t="n">
        <v>1268.9</v>
      </c>
    </row>
    <row r="31">
      <c r="A31" s="2" t="inlineStr">
        <is>
          <t>Benue</t>
        </is>
      </c>
      <c r="B31" s="2" t="inlineStr">
        <is>
          <t>North-Central</t>
        </is>
      </c>
      <c r="C31" s="9" t="n">
        <v>184000</v>
      </c>
      <c r="D31" s="2" t="inlineStr">
        <is>
          <t>Retail</t>
        </is>
      </c>
      <c r="E31" s="2" t="n">
        <v>5</v>
      </c>
      <c r="F31" s="8" t="n">
        <v>2.7</v>
      </c>
      <c r="G31" s="9" t="n">
        <v>4968</v>
      </c>
      <c r="H31" s="5" t="n">
        <v>6303895200</v>
      </c>
      <c r="I31" s="2" t="inlineStr">
        <is>
          <t>Yes</t>
        </is>
      </c>
      <c r="J31" s="9" t="n">
        <v>3477.6</v>
      </c>
      <c r="K31" s="5" t="n">
        <v>4412726640</v>
      </c>
      <c r="L31" s="9" t="n">
        <v>1490.4</v>
      </c>
      <c r="M31" s="5" t="n">
        <v>1891168560</v>
      </c>
      <c r="N31" s="5" t="n">
        <v>1268.9</v>
      </c>
    </row>
    <row r="32">
      <c r="A32" s="2" t="inlineStr">
        <is>
          <t>Gombe</t>
        </is>
      </c>
      <c r="B32" s="2" t="inlineStr">
        <is>
          <t>North-East</t>
        </is>
      </c>
      <c r="C32" s="9" t="n">
        <v>138000</v>
      </c>
      <c r="D32" s="2" t="inlineStr">
        <is>
          <t>Farm / Harvest</t>
        </is>
      </c>
      <c r="E32" s="2" t="n">
        <v>1</v>
      </c>
      <c r="F32" s="8" t="n">
        <v>17.1</v>
      </c>
      <c r="G32" s="9" t="n">
        <v>23598</v>
      </c>
      <c r="H32" s="5" t="n">
        <v>14958300240</v>
      </c>
      <c r="I32" s="2" t="inlineStr">
        <is>
          <t>No</t>
        </is>
      </c>
      <c r="J32" s="9" t="n">
        <v>23598</v>
      </c>
      <c r="K32" s="5" t="n">
        <v>14958300240</v>
      </c>
      <c r="L32" s="9" t="n">
        <v>0</v>
      </c>
      <c r="M32" s="5" t="n">
        <v>0</v>
      </c>
      <c r="N32" s="5" t="n">
        <v>633.88</v>
      </c>
    </row>
    <row r="33">
      <c r="A33" s="2" t="inlineStr">
        <is>
          <t>Gombe</t>
        </is>
      </c>
      <c r="B33" s="2" t="inlineStr">
        <is>
          <t>North-East</t>
        </is>
      </c>
      <c r="C33" s="9" t="n">
        <v>138000</v>
      </c>
      <c r="D33" s="2" t="inlineStr">
        <is>
          <t>Postharvest handling (on-farm sorting, packing, initial storage)</t>
        </is>
      </c>
      <c r="E33" s="2" t="n">
        <v>2</v>
      </c>
      <c r="F33" s="8" t="n">
        <v>15.3</v>
      </c>
      <c r="G33" s="9" t="n">
        <v>21114</v>
      </c>
      <c r="H33" s="5" t="n">
        <v>26791554600</v>
      </c>
      <c r="I33" s="2" t="inlineStr">
        <is>
          <t>Yes</t>
        </is>
      </c>
      <c r="J33" s="9" t="n">
        <v>14779.8</v>
      </c>
      <c r="K33" s="5" t="n">
        <v>18754088220</v>
      </c>
      <c r="L33" s="9" t="n">
        <v>6334.2</v>
      </c>
      <c r="M33" s="5" t="n">
        <v>8037466380</v>
      </c>
      <c r="N33" s="5" t="n">
        <v>1268.9</v>
      </c>
    </row>
    <row r="34">
      <c r="A34" s="2" t="inlineStr">
        <is>
          <t>Gombe</t>
        </is>
      </c>
      <c r="B34" s="2" t="inlineStr">
        <is>
          <t>North-East</t>
        </is>
      </c>
      <c r="C34" s="9" t="n">
        <v>138000</v>
      </c>
      <c r="D34" s="2" t="inlineStr">
        <is>
          <t>Transport</t>
        </is>
      </c>
      <c r="E34" s="2" t="n">
        <v>3</v>
      </c>
      <c r="F34" s="8" t="n">
        <v>6.3</v>
      </c>
      <c r="G34" s="9" t="n">
        <v>8694</v>
      </c>
      <c r="H34" s="5" t="n">
        <v>11031816600</v>
      </c>
      <c r="I34" s="2" t="inlineStr">
        <is>
          <t>Yes</t>
        </is>
      </c>
      <c r="J34" s="9" t="n">
        <v>6085.8</v>
      </c>
      <c r="K34" s="5" t="n">
        <v>7722271620</v>
      </c>
      <c r="L34" s="9" t="n">
        <v>2608.2</v>
      </c>
      <c r="M34" s="5" t="n">
        <v>3309544980</v>
      </c>
      <c r="N34" s="5" t="n">
        <v>1268.9</v>
      </c>
    </row>
    <row r="35">
      <c r="A35" s="2" t="inlineStr">
        <is>
          <t>Gombe</t>
        </is>
      </c>
      <c r="B35" s="2" t="inlineStr">
        <is>
          <t>North-East</t>
        </is>
      </c>
      <c r="C35" s="9" t="n">
        <v>138000</v>
      </c>
      <c r="D35" s="2" t="inlineStr">
        <is>
          <t>Wholesale market</t>
        </is>
      </c>
      <c r="E35" s="2" t="n">
        <v>4</v>
      </c>
      <c r="F35" s="8" t="n">
        <v>3.6</v>
      </c>
      <c r="G35" s="9" t="n">
        <v>4968</v>
      </c>
      <c r="H35" s="5" t="n">
        <v>6303895200</v>
      </c>
      <c r="I35" s="2" t="inlineStr">
        <is>
          <t>Yes</t>
        </is>
      </c>
      <c r="J35" s="9" t="n">
        <v>3477.6</v>
      </c>
      <c r="K35" s="5" t="n">
        <v>4412726640</v>
      </c>
      <c r="L35" s="9" t="n">
        <v>1490.4</v>
      </c>
      <c r="M35" s="5" t="n">
        <v>1891168560</v>
      </c>
      <c r="N35" s="5" t="n">
        <v>1268.9</v>
      </c>
    </row>
    <row r="36">
      <c r="A36" s="2" t="inlineStr">
        <is>
          <t>Gombe</t>
        </is>
      </c>
      <c r="B36" s="2" t="inlineStr">
        <is>
          <t>North-East</t>
        </is>
      </c>
      <c r="C36" s="9" t="n">
        <v>138000</v>
      </c>
      <c r="D36" s="2" t="inlineStr">
        <is>
          <t>Retail</t>
        </is>
      </c>
      <c r="E36" s="2" t="n">
        <v>5</v>
      </c>
      <c r="F36" s="8" t="n">
        <v>2.7</v>
      </c>
      <c r="G36" s="9" t="n">
        <v>3726</v>
      </c>
      <c r="H36" s="5" t="n">
        <v>4727921400</v>
      </c>
      <c r="I36" s="2" t="inlineStr">
        <is>
          <t>Yes</t>
        </is>
      </c>
      <c r="J36" s="9" t="n">
        <v>2608.2</v>
      </c>
      <c r="K36" s="5" t="n">
        <v>3309544980</v>
      </c>
      <c r="L36" s="9" t="n">
        <v>1117.8</v>
      </c>
      <c r="M36" s="5" t="n">
        <v>1418376420</v>
      </c>
      <c r="N36" s="5" t="n">
        <v>1268.9</v>
      </c>
    </row>
    <row r="37">
      <c r="A37" s="2" t="inlineStr">
        <is>
          <t>Bauchi</t>
        </is>
      </c>
      <c r="B37" s="2" t="inlineStr">
        <is>
          <t>North-East</t>
        </is>
      </c>
      <c r="C37" s="9" t="n">
        <v>138000</v>
      </c>
      <c r="D37" s="2" t="inlineStr">
        <is>
          <t>Farm / Harvest</t>
        </is>
      </c>
      <c r="E37" s="2" t="n">
        <v>1</v>
      </c>
      <c r="F37" s="8" t="n">
        <v>17.1</v>
      </c>
      <c r="G37" s="9" t="n">
        <v>23598</v>
      </c>
      <c r="H37" s="5" t="n">
        <v>14958300240</v>
      </c>
      <c r="I37" s="2" t="inlineStr">
        <is>
          <t>No</t>
        </is>
      </c>
      <c r="J37" s="9" t="n">
        <v>23598</v>
      </c>
      <c r="K37" s="5" t="n">
        <v>14958300240</v>
      </c>
      <c r="L37" s="9" t="n">
        <v>0</v>
      </c>
      <c r="M37" s="5" t="n">
        <v>0</v>
      </c>
      <c r="N37" s="5" t="n">
        <v>633.88</v>
      </c>
    </row>
    <row r="38">
      <c r="A38" s="2" t="inlineStr">
        <is>
          <t>Bauchi</t>
        </is>
      </c>
      <c r="B38" s="2" t="inlineStr">
        <is>
          <t>North-East</t>
        </is>
      </c>
      <c r="C38" s="9" t="n">
        <v>138000</v>
      </c>
      <c r="D38" s="2" t="inlineStr">
        <is>
          <t>Postharvest handling (on-farm sorting, packing, initial storage)</t>
        </is>
      </c>
      <c r="E38" s="2" t="n">
        <v>2</v>
      </c>
      <c r="F38" s="8" t="n">
        <v>15.3</v>
      </c>
      <c r="G38" s="9" t="n">
        <v>21114</v>
      </c>
      <c r="H38" s="5" t="n">
        <v>26791554600</v>
      </c>
      <c r="I38" s="2" t="inlineStr">
        <is>
          <t>Yes</t>
        </is>
      </c>
      <c r="J38" s="9" t="n">
        <v>14779.8</v>
      </c>
      <c r="K38" s="5" t="n">
        <v>18754088220</v>
      </c>
      <c r="L38" s="9" t="n">
        <v>6334.2</v>
      </c>
      <c r="M38" s="5" t="n">
        <v>8037466380</v>
      </c>
      <c r="N38" s="5" t="n">
        <v>1268.9</v>
      </c>
    </row>
    <row r="39">
      <c r="A39" s="2" t="inlineStr">
        <is>
          <t>Bauchi</t>
        </is>
      </c>
      <c r="B39" s="2" t="inlineStr">
        <is>
          <t>North-East</t>
        </is>
      </c>
      <c r="C39" s="9" t="n">
        <v>138000</v>
      </c>
      <c r="D39" s="2" t="inlineStr">
        <is>
          <t>Transport</t>
        </is>
      </c>
      <c r="E39" s="2" t="n">
        <v>3</v>
      </c>
      <c r="F39" s="8" t="n">
        <v>6.3</v>
      </c>
      <c r="G39" s="9" t="n">
        <v>8694</v>
      </c>
      <c r="H39" s="5" t="n">
        <v>11031816600</v>
      </c>
      <c r="I39" s="2" t="inlineStr">
        <is>
          <t>Yes</t>
        </is>
      </c>
      <c r="J39" s="9" t="n">
        <v>6085.8</v>
      </c>
      <c r="K39" s="5" t="n">
        <v>7722271620</v>
      </c>
      <c r="L39" s="9" t="n">
        <v>2608.2</v>
      </c>
      <c r="M39" s="5" t="n">
        <v>3309544980</v>
      </c>
      <c r="N39" s="5" t="n">
        <v>1268.9</v>
      </c>
    </row>
    <row r="40">
      <c r="A40" s="2" t="inlineStr">
        <is>
          <t>Bauchi</t>
        </is>
      </c>
      <c r="B40" s="2" t="inlineStr">
        <is>
          <t>North-East</t>
        </is>
      </c>
      <c r="C40" s="9" t="n">
        <v>138000</v>
      </c>
      <c r="D40" s="2" t="inlineStr">
        <is>
          <t>Wholesale market</t>
        </is>
      </c>
      <c r="E40" s="2" t="n">
        <v>4</v>
      </c>
      <c r="F40" s="8" t="n">
        <v>3.6</v>
      </c>
      <c r="G40" s="9" t="n">
        <v>4968</v>
      </c>
      <c r="H40" s="5" t="n">
        <v>6303895200</v>
      </c>
      <c r="I40" s="2" t="inlineStr">
        <is>
          <t>Yes</t>
        </is>
      </c>
      <c r="J40" s="9" t="n">
        <v>3477.6</v>
      </c>
      <c r="K40" s="5" t="n">
        <v>4412726640</v>
      </c>
      <c r="L40" s="9" t="n">
        <v>1490.4</v>
      </c>
      <c r="M40" s="5" t="n">
        <v>1891168560</v>
      </c>
      <c r="N40" s="5" t="n">
        <v>1268.9</v>
      </c>
    </row>
    <row r="41">
      <c r="A41" s="2" t="inlineStr">
        <is>
          <t>Bauchi</t>
        </is>
      </c>
      <c r="B41" s="2" t="inlineStr">
        <is>
          <t>North-East</t>
        </is>
      </c>
      <c r="C41" s="9" t="n">
        <v>138000</v>
      </c>
      <c r="D41" s="2" t="inlineStr">
        <is>
          <t>Retail</t>
        </is>
      </c>
      <c r="E41" s="2" t="n">
        <v>5</v>
      </c>
      <c r="F41" s="8" t="n">
        <v>2.7</v>
      </c>
      <c r="G41" s="9" t="n">
        <v>3726</v>
      </c>
      <c r="H41" s="5" t="n">
        <v>4727921400</v>
      </c>
      <c r="I41" s="2" t="inlineStr">
        <is>
          <t>Yes</t>
        </is>
      </c>
      <c r="J41" s="9" t="n">
        <v>2608.2</v>
      </c>
      <c r="K41" s="5" t="n">
        <v>3309544980</v>
      </c>
      <c r="L41" s="9" t="n">
        <v>1117.8</v>
      </c>
      <c r="M41" s="5" t="n">
        <v>1418376420</v>
      </c>
      <c r="N41" s="5" t="n">
        <v>1268.9</v>
      </c>
    </row>
    <row r="42">
      <c r="A42" s="2" t="inlineStr">
        <is>
          <t>Other_states</t>
        </is>
      </c>
      <c r="B42" s="2" t="inlineStr">
        <is>
          <t>Various</t>
        </is>
      </c>
      <c r="C42" s="9" t="n">
        <v>115000</v>
      </c>
      <c r="D42" s="2" t="inlineStr">
        <is>
          <t>Farm / Harvest</t>
        </is>
      </c>
      <c r="E42" s="2" t="n">
        <v>1</v>
      </c>
      <c r="F42" s="8" t="n">
        <v>17.1</v>
      </c>
      <c r="G42" s="9" t="n">
        <v>19665</v>
      </c>
      <c r="H42" s="5" t="n">
        <v>11923282800</v>
      </c>
      <c r="I42" s="2" t="inlineStr">
        <is>
          <t>No</t>
        </is>
      </c>
      <c r="J42" s="9" t="n">
        <v>19665</v>
      </c>
      <c r="K42" s="5" t="n">
        <v>11923282800</v>
      </c>
      <c r="L42" s="9" t="n">
        <v>0</v>
      </c>
      <c r="M42" s="5" t="n">
        <v>0</v>
      </c>
      <c r="N42" s="5" t="n">
        <v>606.3200000000001</v>
      </c>
    </row>
    <row r="43">
      <c r="A43" s="2" t="inlineStr">
        <is>
          <t>Other_states</t>
        </is>
      </c>
      <c r="B43" s="2" t="inlineStr">
        <is>
          <t>Various</t>
        </is>
      </c>
      <c r="C43" s="9" t="n">
        <v>115000</v>
      </c>
      <c r="D43" s="2" t="inlineStr">
        <is>
          <t>Postharvest handling (on-farm sorting, packing, initial storage)</t>
        </is>
      </c>
      <c r="E43" s="2" t="n">
        <v>2</v>
      </c>
      <c r="F43" s="8" t="n">
        <v>15.3</v>
      </c>
      <c r="G43" s="9" t="n">
        <v>17595</v>
      </c>
      <c r="H43" s="5" t="n">
        <v>22326295500</v>
      </c>
      <c r="I43" s="2" t="inlineStr">
        <is>
          <t>Yes</t>
        </is>
      </c>
      <c r="J43" s="9" t="n">
        <v>12316.5</v>
      </c>
      <c r="K43" s="5" t="n">
        <v>15628406850</v>
      </c>
      <c r="L43" s="9" t="n">
        <v>5278.5</v>
      </c>
      <c r="M43" s="5" t="n">
        <v>6697888650</v>
      </c>
      <c r="N43" s="5" t="n">
        <v>1268.9</v>
      </c>
    </row>
    <row r="44">
      <c r="A44" s="2" t="inlineStr">
        <is>
          <t>Other_states</t>
        </is>
      </c>
      <c r="B44" s="2" t="inlineStr">
        <is>
          <t>Various</t>
        </is>
      </c>
      <c r="C44" s="9" t="n">
        <v>115000</v>
      </c>
      <c r="D44" s="2" t="inlineStr">
        <is>
          <t>Transport</t>
        </is>
      </c>
      <c r="E44" s="2" t="n">
        <v>3</v>
      </c>
      <c r="F44" s="8" t="n">
        <v>6.3</v>
      </c>
      <c r="G44" s="9" t="n">
        <v>7245</v>
      </c>
      <c r="H44" s="5" t="n">
        <v>9193180500</v>
      </c>
      <c r="I44" s="2" t="inlineStr">
        <is>
          <t>Yes</t>
        </is>
      </c>
      <c r="J44" s="9" t="n">
        <v>5071.5</v>
      </c>
      <c r="K44" s="5" t="n">
        <v>6435226350</v>
      </c>
      <c r="L44" s="9" t="n">
        <v>2173.5</v>
      </c>
      <c r="M44" s="5" t="n">
        <v>2757954150</v>
      </c>
      <c r="N44" s="5" t="n">
        <v>1268.9</v>
      </c>
    </row>
    <row r="45">
      <c r="A45" s="2" t="inlineStr">
        <is>
          <t>Other_states</t>
        </is>
      </c>
      <c r="B45" s="2" t="inlineStr">
        <is>
          <t>Various</t>
        </is>
      </c>
      <c r="C45" s="9" t="n">
        <v>115000</v>
      </c>
      <c r="D45" s="2" t="inlineStr">
        <is>
          <t>Wholesale market</t>
        </is>
      </c>
      <c r="E45" s="2" t="n">
        <v>4</v>
      </c>
      <c r="F45" s="8" t="n">
        <v>3.6</v>
      </c>
      <c r="G45" s="9" t="n">
        <v>4140</v>
      </c>
      <c r="H45" s="5" t="n">
        <v>5253246000</v>
      </c>
      <c r="I45" s="2" t="inlineStr">
        <is>
          <t>Yes</t>
        </is>
      </c>
      <c r="J45" s="9" t="n">
        <v>2898</v>
      </c>
      <c r="K45" s="5" t="n">
        <v>3677272200</v>
      </c>
      <c r="L45" s="9" t="n">
        <v>1242</v>
      </c>
      <c r="M45" s="5" t="n">
        <v>1575973800</v>
      </c>
      <c r="N45" s="5" t="n">
        <v>1268.9</v>
      </c>
    </row>
    <row r="46">
      <c r="A46" s="2" t="inlineStr">
        <is>
          <t>Other_states</t>
        </is>
      </c>
      <c r="B46" s="2" t="inlineStr">
        <is>
          <t>Various</t>
        </is>
      </c>
      <c r="C46" s="9" t="n">
        <v>115000</v>
      </c>
      <c r="D46" s="2" t="inlineStr">
        <is>
          <t>Retail</t>
        </is>
      </c>
      <c r="E46" s="2" t="n">
        <v>5</v>
      </c>
      <c r="F46" s="8" t="n">
        <v>2.7</v>
      </c>
      <c r="G46" s="9" t="n">
        <v>3105</v>
      </c>
      <c r="H46" s="5" t="n">
        <v>3939934500</v>
      </c>
      <c r="I46" s="2" t="inlineStr">
        <is>
          <t>Yes</t>
        </is>
      </c>
      <c r="J46" s="9" t="n">
        <v>2173.5</v>
      </c>
      <c r="K46" s="5" t="n">
        <v>2757954150</v>
      </c>
      <c r="L46" s="9" t="n">
        <v>931.5</v>
      </c>
      <c r="M46" s="5" t="n">
        <v>1181980350</v>
      </c>
      <c r="N46" s="5" t="n">
        <v>1268.9</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2026-09-22T14:02:55Z</dcterms:created>
  <dcterms:modified xsi:type="dcterms:W3CDTF">2026-09-22T14:02:55Z</dcterms:modified>
</cp:coreProperties>
</file>